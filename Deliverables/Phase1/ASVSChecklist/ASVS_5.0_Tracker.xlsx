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tilizador\OneDrive\Ambiente de Trabalho\Faculdade\Mestrado\1º Ano\2º Semestre\DESOFS\desofs2026-wed_nap_1-1\Deliverables\Phase1\ASVSChecklist\"/>
    </mc:Choice>
  </mc:AlternateContent>
  <xr:revisionPtr revIDLastSave="0" documentId="13_ncr:1_{4F2CC1D4-6A59-4DE5-B8EC-186B921A94D4}" xr6:coauthVersionLast="47" xr6:coauthVersionMax="47" xr10:uidLastSave="{00000000-0000-0000-0000-000000000000}"/>
  <bookViews>
    <workbookView xWindow="-108" yWindow="-108" windowWidth="23256" windowHeight="12456" tabRatio="500" firstSheet="11" activeTab="13" xr2:uid="{00000000-000D-0000-FFFF-FFFF00000000}"/>
  </bookViews>
  <sheets>
    <sheet name="Summary" sheetId="1" r:id="rId1"/>
    <sheet name="V1 - Encoding and Sanitization" sheetId="2" r:id="rId2"/>
    <sheet name="V2 - Validation and Business Lo" sheetId="3" r:id="rId3"/>
    <sheet name="V3 - Web Frontend Security" sheetId="4" r:id="rId4"/>
    <sheet name="V4 - API and Web Service" sheetId="5" r:id="rId5"/>
    <sheet name="V5 - File Handling" sheetId="6" r:id="rId6"/>
    <sheet name="V6 - Authentication" sheetId="7" r:id="rId7"/>
    <sheet name="V7 - Session Management" sheetId="8" r:id="rId8"/>
    <sheet name="V8 - Authorization" sheetId="9" r:id="rId9"/>
    <sheet name="V9 - Self-contained Tokens" sheetId="10" r:id="rId10"/>
    <sheet name="V10 - OAuth and OIDC" sheetId="11" r:id="rId11"/>
    <sheet name="V11 - Cryptography" sheetId="12" r:id="rId12"/>
    <sheet name="V12 - Secure Communication" sheetId="13" r:id="rId13"/>
    <sheet name="V13 - Configuration" sheetId="14" r:id="rId14"/>
    <sheet name="V14 - Data Protection" sheetId="15" r:id="rId15"/>
    <sheet name="V15 - Secure Coding and Archite" sheetId="16" r:id="rId16"/>
    <sheet name="V16 - Security Logging and Erro" sheetId="17" r:id="rId17"/>
    <sheet name="V17 - WebRTC" sheetId="18" r:id="rId1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3" i="1" l="1"/>
  <c r="F23" i="1"/>
  <c r="C23" i="1"/>
  <c r="B23" i="1"/>
  <c r="L22" i="1"/>
  <c r="M22" i="1" s="1"/>
  <c r="J22" i="1"/>
  <c r="K22" i="1" s="1"/>
  <c r="G22" i="1"/>
  <c r="H22" i="1" s="1"/>
  <c r="L21" i="1"/>
  <c r="M21" i="1" s="1"/>
  <c r="J21" i="1"/>
  <c r="K21" i="1" s="1"/>
  <c r="G21" i="1"/>
  <c r="H21" i="1" s="1"/>
  <c r="L20" i="1"/>
  <c r="M20" i="1" s="1"/>
  <c r="J20" i="1"/>
  <c r="K20" i="1" s="1"/>
  <c r="G20" i="1"/>
  <c r="H20" i="1" s="1"/>
  <c r="D20" i="1"/>
  <c r="L19" i="1"/>
  <c r="M19" i="1" s="1"/>
  <c r="J19" i="1"/>
  <c r="K19" i="1" s="1"/>
  <c r="G19" i="1"/>
  <c r="H19" i="1" s="1"/>
  <c r="D19" i="1"/>
  <c r="E19" i="1" s="1"/>
  <c r="L18" i="1"/>
  <c r="M18" i="1" s="1"/>
  <c r="J18" i="1"/>
  <c r="K18" i="1" s="1"/>
  <c r="G18" i="1"/>
  <c r="H18" i="1" s="1"/>
  <c r="D18" i="1"/>
  <c r="E18" i="1" s="1"/>
  <c r="L17" i="1"/>
  <c r="M17" i="1" s="1"/>
  <c r="J17" i="1"/>
  <c r="K17" i="1" s="1"/>
  <c r="G17" i="1"/>
  <c r="H17" i="1" s="1"/>
  <c r="D17" i="1"/>
  <c r="E17" i="1" s="1"/>
  <c r="L16" i="1"/>
  <c r="M16" i="1" s="1"/>
  <c r="J16" i="1"/>
  <c r="K16" i="1" s="1"/>
  <c r="G16" i="1"/>
  <c r="H16" i="1" s="1"/>
  <c r="D16" i="1"/>
  <c r="E16" i="1" s="1"/>
  <c r="L15" i="1"/>
  <c r="M15" i="1" s="1"/>
  <c r="J15" i="1"/>
  <c r="K15" i="1" s="1"/>
  <c r="G15" i="1"/>
  <c r="H15" i="1" s="1"/>
  <c r="D15" i="1"/>
  <c r="E15" i="1" s="1"/>
  <c r="L14" i="1"/>
  <c r="M14" i="1" s="1"/>
  <c r="G14" i="1"/>
  <c r="H14" i="1" s="1"/>
  <c r="D14" i="1"/>
  <c r="E14" i="1" s="1"/>
  <c r="L13" i="1"/>
  <c r="M13" i="1" s="1"/>
  <c r="J13" i="1"/>
  <c r="K13" i="1" s="1"/>
  <c r="G13" i="1"/>
  <c r="H13" i="1" s="1"/>
  <c r="D13" i="1"/>
  <c r="E13" i="1" s="1"/>
  <c r="L12" i="1"/>
  <c r="M12" i="1" s="1"/>
  <c r="J12" i="1"/>
  <c r="K12" i="1" s="1"/>
  <c r="G12" i="1"/>
  <c r="H12" i="1" s="1"/>
  <c r="D12" i="1"/>
  <c r="E12" i="1" s="1"/>
  <c r="L11" i="1"/>
  <c r="M11" i="1" s="1"/>
  <c r="J11" i="1"/>
  <c r="K11" i="1" s="1"/>
  <c r="G11" i="1"/>
  <c r="H11" i="1" s="1"/>
  <c r="D11" i="1"/>
  <c r="E11" i="1" s="1"/>
  <c r="M10" i="1"/>
  <c r="L10" i="1"/>
  <c r="J10" i="1"/>
  <c r="K10" i="1" s="1"/>
  <c r="G10" i="1"/>
  <c r="H10" i="1" s="1"/>
  <c r="D10" i="1"/>
  <c r="E10" i="1" s="1"/>
  <c r="L9" i="1"/>
  <c r="M9" i="1" s="1"/>
  <c r="J9" i="1"/>
  <c r="K9" i="1" s="1"/>
  <c r="G9" i="1"/>
  <c r="H9" i="1" s="1"/>
  <c r="D9" i="1"/>
  <c r="E9" i="1" s="1"/>
  <c r="L8" i="1"/>
  <c r="M8" i="1" s="1"/>
  <c r="J8" i="1"/>
  <c r="K8" i="1" s="1"/>
  <c r="G8" i="1"/>
  <c r="H8" i="1" s="1"/>
  <c r="D8" i="1"/>
  <c r="E8" i="1" s="1"/>
  <c r="L7" i="1"/>
  <c r="M7" i="1" s="1"/>
  <c r="J7" i="1"/>
  <c r="K7" i="1" s="1"/>
  <c r="G7" i="1"/>
  <c r="H7" i="1" s="1"/>
  <c r="D7" i="1"/>
  <c r="E7" i="1" s="1"/>
  <c r="L6" i="1"/>
  <c r="M6" i="1" s="1"/>
  <c r="J6" i="1"/>
  <c r="G6" i="1"/>
  <c r="H6" i="1" s="1"/>
  <c r="D6" i="1"/>
  <c r="E6" i="1" s="1"/>
  <c r="J23" i="1" l="1"/>
  <c r="L23" i="1"/>
  <c r="G23" i="1"/>
  <c r="D23" i="1"/>
  <c r="H23" i="1"/>
  <c r="M23" i="1"/>
  <c r="E20" i="1"/>
  <c r="E23" i="1" s="1"/>
  <c r="K6" i="1"/>
  <c r="K23" i="1" s="1"/>
</calcChain>
</file>

<file path=xl/sharedStrings.xml><?xml version="1.0" encoding="utf-8"?>
<sst xmlns="http://schemas.openxmlformats.org/spreadsheetml/2006/main" count="2587" uniqueCount="1230">
  <si>
    <t>OWASP ASVS 5.0 – Compliance Tracker</t>
  </si>
  <si>
    <t>Chapter</t>
  </si>
  <si>
    <t>Total
Reqs</t>
  </si>
  <si>
    <t>L1
Total</t>
  </si>
  <si>
    <t>L1
Compliant</t>
  </si>
  <si>
    <t>L1
%</t>
  </si>
  <si>
    <t>L2
Total</t>
  </si>
  <si>
    <t>L2
Compliant</t>
  </si>
  <si>
    <t>L2
%</t>
  </si>
  <si>
    <t>L3
Total</t>
  </si>
  <si>
    <t>L3
Compliant</t>
  </si>
  <si>
    <t>L3
%</t>
  </si>
  <si>
    <t>Overall
Compliant</t>
  </si>
  <si>
    <t>Overall
%</t>
  </si>
  <si>
    <t>V1 – Encoding and Sanitization</t>
  </si>
  <si>
    <t>V2 – Validation and Business Logic</t>
  </si>
  <si>
    <t>V3 – Web Frontend Security</t>
  </si>
  <si>
    <t>V4 – API and Web Service</t>
  </si>
  <si>
    <t>V5 – File Handling</t>
  </si>
  <si>
    <t>V6 – Authentication</t>
  </si>
  <si>
    <t>V7 – Session Management</t>
  </si>
  <si>
    <t>V8 – Authorization</t>
  </si>
  <si>
    <t>V9 – Self-contained Tokens</t>
  </si>
  <si>
    <t>N/A</t>
  </si>
  <si>
    <t>V10 – OAuth and OIDC</t>
  </si>
  <si>
    <t>V11 – Cryptography</t>
  </si>
  <si>
    <t>V12 – Secure Communication</t>
  </si>
  <si>
    <t>V13 – Configuration</t>
  </si>
  <si>
    <t>V14 – Data Protection</t>
  </si>
  <si>
    <t>V15 – Secure Coding and Architecture</t>
  </si>
  <si>
    <t>V16 – Security Logging and Error Handling</t>
  </si>
  <si>
    <t>V17 – WebRTC</t>
  </si>
  <si>
    <t>TOTAL</t>
  </si>
  <si>
    <t>Section ID</t>
  </si>
  <si>
    <t>Section Name</t>
  </si>
  <si>
    <t>Req ID</t>
  </si>
  <si>
    <t>Description</t>
  </si>
  <si>
    <t>Level</t>
  </si>
  <si>
    <t>Status</t>
  </si>
  <si>
    <t>Observations</t>
  </si>
  <si>
    <t>Reference / Link</t>
  </si>
  <si>
    <t>V1.1</t>
  </si>
  <si>
    <t>Encoding and Sanitization Architecture</t>
  </si>
  <si>
    <t>V1.1.1</t>
  </si>
  <si>
    <t>Verify that input is decoded or unescaped into a canonical form only once, it is only decoded when encoded data in that form is expected, and that this is done before processing the input further, for example it is not performed after input validation or sanitization.</t>
  </si>
  <si>
    <t>The architecture defines that all inputs are normalized and validated at the application boundary (controllers/API layer) before any business processing occurs. Multiple decoding cycles (e.g., double-decoding of HTTP parameters) are explicitly avoided.</t>
  </si>
  <si>
    <t>Sections 3.3 (Data &amp; Communication Integrity) and 4 (Functional Security Requirements), domainAnalysisAndRequirements.md</t>
  </si>
  <si>
    <t>V1.1.2</t>
  </si>
  <si>
    <t>Verify that the application performs output encoding and escaping either as a final step before being used by the interpreter for which it is intended or by the interpreter itself.</t>
  </si>
  <si>
    <t>All responses will be generated through Spring Boot’s built-in serialization mechanism (Jackson), ensuring proper escaping of untrusted data. Responses will be constructed using structured objects (DTOs) and automatically serialized into JSON. Manual string concatenation or direct construction of response payloads will not be used.</t>
  </si>
  <si>
    <t>https://www.baeldung.com/jackson-vs-gson</t>
  </si>
  <si>
    <t>V1.2</t>
  </si>
  <si>
    <t>Injection Prevention</t>
  </si>
  <si>
    <t>V1.2.1</t>
  </si>
  <si>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</si>
  <si>
    <t>The application enforces context-aware output encoding for HTTP responses containing JSON payloads. Output data is serialized using Jackson, ensuring that untrusted input does not alter the structure of JSON responses. HTML or browser-specific encoding contexts are not applicable, as the system is a REST API.</t>
  </si>
  <si>
    <t>V1.2.2</t>
  </si>
  <si>
    <t>Verify that when dynamically building URLs, untrusted data is encoded according to its context (e.g., URL encoding or base64url encoding for query or path parameters). Ensure that only safe URL protocols are permitted (e.g., disallow javascript: or data:).</t>
  </si>
  <si>
    <t>The application performs outbound HTTP requests only to a trusted authentication service. URLs used for these integrations are not dynamically constructed from user input. Any parameters included in requests will be validated and encoded using standard backend mechanisms. Only secure protocols (HTTPS) are permitted, and all external endpoints are restricted through an allowlist to prevent misuse.</t>
  </si>
  <si>
    <t>V1.2.3</t>
  </si>
  <si>
    <t>Verify that output encoding or escaping is used when dynamically building JavaScript content (including JSON), to avoid changing the message or document structure (to avoid JavaScript and JSON injection).</t>
  </si>
  <si>
    <t>The application prevents JSON injection by generating all response payloads through structured objects (DTOs) that are automatically serialized using Jackson. This ensures that untrusted input cannot alter the structure of JSON responses. Manual construction of JSON content (e.g., string concatenation) is not permitted.</t>
  </si>
  <si>
    <t>Sections 3.3 (Data &amp; Communication Integrity) and 4 (Functional Security Requirements), domainAnalysisAndRequirements.md;</t>
  </si>
  <si>
    <t>V1.2.4</t>
  </si>
  <si>
    <t>Verify that data selection or database queries (e.g., SQL, HQL, NoSQL, Cypher) use parameterized queries, ORMs, entity frameworks, or are otherwise protected from SQL Injection and other database injection attacks. This is also relevant when writing stored procedures.</t>
  </si>
  <si>
    <t>Section 6 (Secure Development Requirements), domainAnalysisAndRequirements.md;</t>
  </si>
  <si>
    <t>V1.2.5</t>
  </si>
  <si>
    <t>Verify that the application protects against OS command injection and that operating system calls use parameterized OS queries or use contextual command line output encoding.</t>
  </si>
  <si>
    <t>The application performs file system operations - directory and file creation - using safe, built-in Java APIs - java.nio.file rather than executing operating system commands. User-supplied input used for file or directory names is strictly validated using allowlists of permitted characters and length restrictions. Path traversal is prevented by resolving and normalizing paths against a fixed base directory and verifying that all operations remain within this directory. User input is never used to construct or execute system-level commands.</t>
  </si>
  <si>
    <t>Section 3.3 (Data &amp; Communication Integrity) and Section 4 (Functional Security Requirements), domainAnalysisAndRequirements.md</t>
  </si>
  <si>
    <t>V1.2.6</t>
  </si>
  <si>
    <t>Verify that the application protects against LDAP injection vulnerabilities, or that specific security controls to prevent LDAP injection have been implemented.</t>
  </si>
  <si>
    <t>Not Applicable</t>
  </si>
  <si>
    <t>The application does not directly use LDAP for authentication, authorization, or querying. Authentication is delegated to an external authentication API, and no LDAP queries are constructed or processed within the system. Therefore, LDAP injection is not applicable to this application.</t>
  </si>
  <si>
    <t>V1.2.7</t>
  </si>
  <si>
    <t>Verify that the application is protected against XPath injection attacks by using query parameterization or precompiled queries.</t>
  </si>
  <si>
    <t>The application does not use XML processing or XPath queries. All data exchange is performed using JSON over HTTP, and no XML-based technologies are used within the system. Therefore, XPath injection is not applicable.</t>
  </si>
  <si>
    <t>V1.2.8</t>
  </si>
  <si>
    <t>Verify that LaTeX processors are configured securely (such as not using the "--shell-escape" flag) and an allowlist of commands is used to prevent LaTeX injection attacks.</t>
  </si>
  <si>
    <t>The application does not use LaTeX processing or rendering, and no functionality involves generating or interpreting LaTeX content. Therefore, LaTeX injection is not applicable to the system.</t>
  </si>
  <si>
    <t>V1.2.9</t>
  </si>
  <si>
    <t>Verify that the application escapes special characters in regular expressions (typically using a backslash) to prevent them from being misinterpreted as metacharacters.</t>
  </si>
  <si>
    <t>Compliant</t>
  </si>
  <si>
    <t>Any user-supplied input will be properly escaped to prevent interpretation as regex metacharacters. Wherever possible, predefined and fixed regex patterns will be used instead of dynamically generated expressions.</t>
  </si>
  <si>
    <t>Section 4 (Functional Security Requirements) and Section 6 (Secure Development Requirements), domainAnalysisAndRequirements.md</t>
  </si>
  <si>
    <t>V1.2.10</t>
  </si>
  <si>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</si>
  <si>
    <t>The application does not provide functionality to export data in CSV, XLSX, or other spreadsheet formats, and no such features are planned within the defined use cases. Therefore, CSV and formula injection risks are not applicable.</t>
  </si>
  <si>
    <t>V1.3</t>
  </si>
  <si>
    <t>Sanitization</t>
  </si>
  <si>
    <t>V1.3.1</t>
  </si>
  <si>
    <t>Verify that all untrusted HTML input from WYSIWYG editors or similar is sanitized using a well-known and secure HTML sanitization library or framework feature.</t>
  </si>
  <si>
    <t>The application does not accept or process HTML input from users. All user input is treated as plain text and validated accordingly. No WYSIWYG editors or rich text inputs are used. Therefore, HTML sanitization is not applicable.</t>
  </si>
  <si>
    <t>V1.3.2</t>
  </si>
  <si>
    <t>Verify that the application avoids the use of eval() or other dynamic code execution features such as Spring Expression Language (SpEL). Where there is no alternative, any user input being included must be sanitized before being executed.</t>
  </si>
  <si>
    <t>The application does not use dynamic code execution mechanisms such as eval() or Spring Expression Language (SpEL) with user-supplied input. Application logic is statically defined, and no user input is evaluated or executed as code. Therefore, the risk of code injection through dynamic execution is eliminated.</t>
  </si>
  <si>
    <t>V1.3.3</t>
  </si>
  <si>
    <t>Verify that data being passed to a potentially dangerous context is sanitized beforehand to enforce safety measures, such as only allowing characters which are safe for this context and trimming input which is too long.</t>
  </si>
  <si>
    <t>All user-supplied input is validated and sanitized at the application boundary (controllers/API layer) before being processed. Validation is based on strict allowlists of permitted formats, value ranges, and length constraints. Input that does not conform to expected formats is rejected. Additional sanitization is applied when data is used in potentially sensitive contexts (e.g., file system operations or external requests).</t>
  </si>
  <si>
    <t>V1.3.4</t>
  </si>
  <si>
    <t>Verify that user-supplied Scalable Vector Graphics (SVG) scriptable content is validated or sanitized to contain only tags and attributes (such as draw graphics) that are safe for the application, e.g., do not contain scripts and foreignObject.</t>
  </si>
  <si>
    <t>The application does not accept or process user-supplied SVG content. No file upload or rendering functionality involving SVG images is provided. Therefore, SVG sanitization is not applicable.</t>
  </si>
  <si>
    <t>V1.3.5</t>
  </si>
  <si>
    <t>Verify that the application sanitizes or disables user-supplied scriptable or expression template language content, such as Markdown, CSS or XSL stylesheets, BBCode, or similar.</t>
  </si>
  <si>
    <t>The application does not accept or process user-supplied content in formats such as Markdown, CSS, XSLT, BBCode, or other template/expression languages. No functionality allows users to define or submit executable or scriptable content. Therefore, injection risks related to these technologies are not applicable.</t>
  </si>
  <si>
    <t>V1.3.6</t>
  </si>
  <si>
    <t>Verify that the application protects against Server-side Request Forgery (SSRF) attacks, by validating untrusted data against an allowlist of protocols, domains, paths and ports and sanitizing potentially dangerous characters before using the data to call another service.</t>
  </si>
  <si>
    <t>The application performs outbound requests exclusively to a trusted external authentication service. Request destinations are not influenced by user input, and no functionality allows users to specify or modify target URLs. All communication is restricted to predefined endpoints over HTTPS, enforced through a strict allowlist. This prevents unauthorized outbound requests and mitigates SSRF risks.</t>
  </si>
  <si>
    <t>V1.3.7</t>
  </si>
  <si>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</si>
  <si>
    <t>The application does not use template engines or dynamically generate templates based on user input. All responses are returned as structured JSON data, and no server-side rendering or template processing is performed. Therefore, template injection risks are not applicable.</t>
  </si>
  <si>
    <t>V1.3.8</t>
  </si>
  <si>
    <t>Verify that the application appropriately sanitizes untrusted input before use in Java Naming and Directory Interface (JNDI) queries and that JNDI is configured securely to prevent JNDI injection attacks.</t>
  </si>
  <si>
    <t>The application does not use Java Naming and Directory Interface (JNDI) for directory lookups, resource resolution, or external service access. No user input is used in JNDI contexts, and no JNDI-based queries are performed. Therefore, JNDI injection risks are not applicable.</t>
  </si>
  <si>
    <t>V1.3.9</t>
  </si>
  <si>
    <t>Verify that the application sanitizes content before it is sent to memcache to prevent injection attacks.</t>
  </si>
  <si>
    <t>The application does not use memcache or any distributed caching mechanisms. Therefore, no untrusted input is sent to caching systems, and memcache injection risks are not applicable.</t>
  </si>
  <si>
    <t>V1.3.10</t>
  </si>
  <si>
    <t>Verify that format strings which might resolve in an unexpected or malicious way when used are sanitized before being processed.</t>
  </si>
  <si>
    <t>The application avoids the use of user-supplied input as format strings in functions such as String.format, printf, or logging statements. Format strings are defined as static constants, and user input is only passed as parameters. This prevents unintended interpretation of format specifiers and mitigates format string injection risks.</t>
  </si>
  <si>
    <t>V1.3.11</t>
  </si>
  <si>
    <t>Verify that the application sanitizes user input before passing to mail systems to protect against SMTP or IMAP injection.</t>
  </si>
  <si>
    <t>The application does not implement or integrate with email systems for sending user-generated content. Therefore, SMTP/IMAP injection risks are not applicable.</t>
  </si>
  <si>
    <t>V1.3.12</t>
  </si>
  <si>
    <t>Verify that regular expressions are free from elements causing exponential backtracking, and ensure untrusted input is sanitized to mitigate ReDoS or Runaway Regex attacks.</t>
  </si>
  <si>
    <t>User-supplied input will not be used to construct dynamic regular expressions. Where regex is applied to untrusted input, input length limits and validation constraints will be enforced to mitigate ReDoS risks.</t>
  </si>
  <si>
    <t>V1.4</t>
  </si>
  <si>
    <t>Memory, String, and Unmanaged Code</t>
  </si>
  <si>
    <t>V1.4.1</t>
  </si>
  <si>
    <t>Verify that the application uses memory-safe string, safer memory copy and pointer arithmetic to detect or prevent stack, buffer, or heap overflows.</t>
  </si>
  <si>
    <t>V1.4.2</t>
  </si>
  <si>
    <t>Verify that sign, range, and input validation techniques are used to prevent integer overflows.</t>
  </si>
  <si>
    <t>The application enforces strict validation of numeric inputs, including value ranges, limits, and data types (e.g., price and quantity constraints). Numeric values are validated at the application boundary to ensure they remain within safe and expected ranges, preventing integer overflows or underflows. Appropriate data types (e.g., BigDecimal for monetary values) will be used to ensure precision and avoid overflow issues.</t>
  </si>
  <si>
    <t>Section 3.1 (Business Logic Rules) and Section 4 (Functional Security Requirements), domainAnalysisAndRequirements.md</t>
  </si>
  <si>
    <t>V1.4.3</t>
  </si>
  <si>
    <t>Verify that dynamically allocated memory and resources are released, and that references or pointers to freed memory are removed or set to null to prevent dangling pointers and use-after-free vulnerabilities.</t>
  </si>
  <si>
    <t>V1.5</t>
  </si>
  <si>
    <t>Safe Deserialization</t>
  </si>
  <si>
    <t>V1.5.1</t>
  </si>
  <si>
    <t>Verify that the application configures XML parsers to use a restrictive configuration and that unsafe features such as resolving external entities are disabled to prevent XML eXternal Entity (XXE) attacks.</t>
  </si>
  <si>
    <t>The application does not process or accept XML input. All data exchange is performed using JSON over HTTP, and no XML parsers or XML-based technologies are used within the system. Therefore, XML External Entity (XXE) injection risks are not applicable.</t>
  </si>
  <si>
    <t>V1.5.2</t>
  </si>
  <si>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</si>
  <si>
    <t>The application processes untrusted input through JSON deserialization into Java objects. Deserialization will be handled using a secure and well-maintained framework - Jackson - configured to prevent unsafe behaviors such as polymorphic type handling and arbitrary object instantiation. Only explicitly defined data transfer objects (DTOs) will be used for request binding, and no dynamic or user-controlled types will be allowed.</t>
  </si>
  <si>
    <t>V1.5.3</t>
  </si>
  <si>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</si>
  <si>
    <t>The application standardizes data processing by using consistent parsing mechanisms across all components. JSON parsing and serialization are handled exclusively using Jackson within the Spring Boot framework, ensuring uniform interpretation of data. UTF-8 is enforced as the standard character encoding for all inputs and outputs. No alternative parsers are used for the same data types, preventing inconsistencies in data interpretation and reducing the risk of parsing-related vulnerabilities.</t>
  </si>
  <si>
    <t>V2.1</t>
  </si>
  <si>
    <t>Validation and Business Logic Documentation</t>
  </si>
  <si>
    <t>V2.1.1</t>
  </si>
  <si>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</si>
  <si>
    <t>The application defines input validation rules based on expected data structures and formats. All incoming data is mapped to structured DTOs at the controller layer and validated for type, format, and constraints (e.g., email format, password length, movie price limits, and quantity ranges). Validation rules are enforced before any business logic processing.</t>
  </si>
  <si>
    <t>V2.1.2</t>
  </si>
  <si>
    <t>Verify that the application's documentation defines how to validate the logical and contextual consistency of combined data items, such as checking that suburb and ZIP code match.</t>
  </si>
  <si>
    <t>The application enforces logical and contextual consistency between related data elements through business rules in the service layer. For example, refund requests are validated against existing orders, ensuring that only valid and completed orders within the allowed time window can be refunded. Relationships between entities (e.g., Order, User, RefundRequest) are validated to maintain consistency.</t>
  </si>
  <si>
    <t>Section 3.1 (Business Logic Rules), domainAnalysisAndRequirements.md</t>
  </si>
  <si>
    <t>V2.1.3</t>
  </si>
  <si>
    <t>Verify that expectations for business logic limits and validations are documented, including both per-user and globally across the application.</t>
  </si>
  <si>
    <t>Business logic limits and validation rules are explicitly defined, including per-user and global constraints. Examples include limits on the number of items per order, refund eligibility time windows, and price constraints for movies. These rules are enforced at the service and domain levels to prevent abuse and ensure consistent behavior across the application.</t>
  </si>
  <si>
    <t>V2.2</t>
  </si>
  <si>
    <t>Input Validation</t>
  </si>
  <si>
    <t>V2.2.1</t>
  </si>
  <si>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</si>
  <si>
    <t>All input is validated against predefined rules using allowlists, type constraints, and value ranges. DTOs define the expected structure of input data, and validation is enforced at the API boundary before processing. Inputs used in business decisions (e.g., purchase quantity, refund requests) are strictly validated.</t>
  </si>
  <si>
    <t>Section 3.3 and Section 4, domainAnalysisAndRequirements.md</t>
  </si>
  <si>
    <t>V2.2.2</t>
  </si>
  <si>
    <t>Verify that the application is designed to enforce input validation at a trusted service layer. While client-side validation improves usability and should be encouraged, it must not be relied upon as a security control.</t>
  </si>
  <si>
    <t>All input validation is enforced exclusively at the backend (trusted service layer). As the application is a REST API, no client-side validation is relied upon. All incoming requests are validated at the controller and service layers before any business logic is executed.</t>
  </si>
  <si>
    <t>Section 4 (Functional Security Requirements), domainAnalysisAndRequirements.md</t>
  </si>
  <si>
    <t>V2.2.3</t>
  </si>
  <si>
    <t>Verify that the application ensures that combinations of related data items are reasonable according to the pre-defined rules.</t>
  </si>
  <si>
    <t>The application validates combinations of related data elements to ensure consistency. For example, refund requests are validated against order ownership, order status, and time constraints. Role-based restrictions are also enforced to ensure only authorized users perform specific actions.</t>
  </si>
  <si>
    <t>Section 3.1 and Section 4, domainAnalysisAndRequirements.md</t>
  </si>
  <si>
    <t>V2.3</t>
  </si>
  <si>
    <t>Business Logic Security</t>
  </si>
  <si>
    <t>V2.3.1</t>
  </si>
  <si>
    <t>Verify that the application will only process business logic flows for the same user in the expected sequential step order and without skipping steps.</t>
  </si>
  <si>
    <t>Business logic flows are enforced through controlled API endpoints and role-based access. Users cannot skip steps in critical flows such as authentication, purchase, or refund processing. Each operation requires valid authentication and proper sequence (e.g., login → purchase → refund request).</t>
  </si>
  <si>
    <t>Section 4, domainAnalysisAndRequirements.md</t>
  </si>
  <si>
    <t>V2.3.2</t>
  </si>
  <si>
    <t>Verify that business logic limits are implemented per the application's documentation to avoid business logic flaws being exploited.</t>
  </si>
  <si>
    <t>Business logic limits defined in the documentation (e.g., refund eligibility, purchase limits) are enforced at the service and domain layers. These constraints prevent abuse such as excessive purchases or invalid refund requests.</t>
  </si>
  <si>
    <t>V2.3.3</t>
  </si>
  <si>
    <t>Verify that transactions are being used at the business logic level such that either a business logic operation succeeds in its entirety or it is rolled back to the previous correct state.</t>
  </si>
  <si>
    <t>Business operations involving multiple steps (e.g., purchase, refund handling) are designed to be executed within transactional boundaries. The application will use database transactions (via JPA/Hibernate) to ensure atomicity, consistency, isolation, and durability (ACID).</t>
  </si>
  <si>
    <t>Section 6 (Secure Development Requirements), domainAnalysisAndRequirements.md</t>
  </si>
  <si>
    <t>V2.3.4</t>
  </si>
  <si>
    <t>Verify that business logic level locking mechanisms are used to ensure that limited quantity resources (such as theater seats or delivery slots) cannot be double-booked by manipulating the application's logic.</t>
  </si>
  <si>
    <t>The application manages limited resources such as movie stock quantities. Concurrency control is enforced using optimistic locking via JPA (e.g., @Version fields), ensuring that concurrent updates do not result in inconsistent state or overselling. If a conflict is detected, the transaction is rejected and must be retried.</t>
  </si>
  <si>
    <t>V2.3.5</t>
  </si>
  <si>
    <t>Verify that high-value business logic flows require multi-user approval to prevent unauthorized or accidental actions. This could include but is not limited to large monetary transfers, contract approvals, access to classified information, or safety overrides in manufacturing.</t>
  </si>
  <si>
    <t>The application does not include high-value operations requiring multi-user approval (e.g., financial transfers or critical administrative overrides). All actions are performed by a single authorized user based on their role.</t>
  </si>
  <si>
    <t>V2.4</t>
  </si>
  <si>
    <t>Anti-automation</t>
  </si>
  <si>
    <t>V2.4.1</t>
  </si>
  <si>
    <t>Verify that anti-automation controls are in place to protect against excessive calls to application functions that could lead to data exfiltration, garbage-data creation, quota exhaustion, rate-limit breaches, denial-of-service, or overuse of costly resources.</t>
  </si>
  <si>
    <t>The application will implement rate limiting and request throttling to prevent abuse of API endpoints, such as excessive login attempts or repeated purchase/refund requests. These controls will help mitigate denial-of-service and brute-force attacks.</t>
  </si>
  <si>
    <t>V2.4.2</t>
  </si>
  <si>
    <t>Verify that business logic flows require realistic human timing, preventing excessively rapid transaction submissions.</t>
  </si>
  <si>
    <t>The application enforces realistic user interaction flows through authentication, session management, and business logic constraints. Additional protections such as rate limiting and timing controls will be implemented to prevent automated rapid submissions of transactions.</t>
  </si>
  <si>
    <t>Section 4 and Section 6, domainAnalysisAndRequirements.md</t>
  </si>
  <si>
    <t>V3.1</t>
  </si>
  <si>
    <t>Web Frontend Security Documentation</t>
  </si>
  <si>
    <t>V3.1.1</t>
  </si>
  <si>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</si>
  <si>
    <t>The application is a REST API and does not render HTML content or execute client-side code in a browser context. Therefore, controls related to browser rendering, DOM manipulation, and frontend execution are not applicable.</t>
  </si>
  <si>
    <t>V3.2</t>
  </si>
  <si>
    <t>Unintended Content Interpretation</t>
  </si>
  <si>
    <t>V3.2.1</t>
  </si>
  <si>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</si>
  <si>
    <t>V3.2.2</t>
  </si>
  <si>
    <t>Verify that content intended to be displayed as text, rather than rendered as HTML, is handled using safe rendering functions (such as createTextNode or textContent) to prevent unintended execution of content such as HTML or JavaScript.</t>
  </si>
  <si>
    <t>V3.2.3</t>
  </si>
  <si>
    <t>Verify that the application avoids DOM clobbering when using client-side JavaScript by employing explicit variable declarations, performing strict type checking, avoiding storing global variables on the document object, and implementing namespace isolation.</t>
  </si>
  <si>
    <t>V3.3</t>
  </si>
  <si>
    <t>Cookie Setup</t>
  </si>
  <si>
    <t>V3.3.1</t>
  </si>
  <si>
    <t>Verify that cookies have the 'Secure' attribute set, and if the '\__Host-' prefix is not used for the cookie name, the '__Secure-' prefix must be used for the cookie name.</t>
  </si>
  <si>
    <t>https://auth0.com/docs/secure/security-guidance/data-security/token-storage</t>
  </si>
  <si>
    <t>V3.3.2</t>
  </si>
  <si>
    <t>Verify that each cookie's 'SameSite' attribute value is set according to the purpose of the cookie, to limit exposure to user interface redress attacks and browser-based request forgery attacks, commonly known as cross-site request forgery (CSRF).</t>
  </si>
  <si>
    <t>https://auth0.com/docs/manage-users/cookies/samesite-cookie-attribute-changes</t>
  </si>
  <si>
    <t>V3.3.3</t>
  </si>
  <si>
    <t>Verify that cookies have the '__Host-' prefix for the cookie name unless they are explicitly designed to be shared with other hosts.</t>
  </si>
  <si>
    <t>https://auth0.com/docs/manage-users/cookies</t>
  </si>
  <si>
    <t>V3.3.4</t>
  </si>
  <si>
    <t>Verify that if the value of a cookie is not meant to be accessible to client-side scripts (such as a session token), the cookie must have the 'HttpOnly' attribute set and the same value (e. g. session token) must only be transferred to the client via the 'Set-Cookie' header field.</t>
  </si>
  <si>
    <t>V3.3.5</t>
  </si>
  <si>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</si>
  <si>
    <t>https://auth0.com/docs/secure/tokens/json-web-tokens/json-web-token-structure</t>
  </si>
  <si>
    <t>V3.4</t>
  </si>
  <si>
    <t>Browser Security Mechanism Headers</t>
  </si>
  <si>
    <t>V3.4.1</t>
  </si>
  <si>
    <t>Verify that a Strict-Transport-Security header field is included on all responses to enforce an HTTP Strict Transport Security (HSTS) policy. A maximum age of at least 1 year must be defined, and for L2 and up, the policy must apply to all subdomains as well.</t>
  </si>
  <si>
    <t>The application enforces secure communication over HTTPS for all client-server interactions. HTTP Strict Transport Security (HSTS) will be configured to ensure that clients automatically enforce HTTPS connections and prevent protocol downgrade attacks. This configuration will apply to all responses and is planned to include an appropriate max-age directive.</t>
  </si>
  <si>
    <t>V3.4.2</t>
  </si>
  <si>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</si>
  <si>
    <t>The application defines controlled access to its REST API through Cross-Origin Resource Sharing (CORS). Allowed origins will be explicitly restricted using an allowlist of trusted domains, and wildcard origins will not be used for endpoints exposing sensitive data. CORS validation will be enforced at the backend layer.</t>
  </si>
  <si>
    <t>V3.4.3</t>
  </si>
  <si>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</si>
  <si>
    <t>V3.4.4</t>
  </si>
  <si>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</si>
  <si>
    <t>Section 3.3 (Data &amp; Communication Integrity), domainAnalysisAndRequirements.md</t>
  </si>
  <si>
    <t>V3.4.5</t>
  </si>
  <si>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</si>
  <si>
    <t>The application will define a Referrer-Policy header to prevent leakage of sensitive information (such as query parameters or internal paths) when requests are made to external services. This ensures that only minimal and necessary referrer information is shared.</t>
  </si>
  <si>
    <t>V3.4.6</t>
  </si>
  <si>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</si>
  <si>
    <t>V3.4.7</t>
  </si>
  <si>
    <t>Verify that the Content-Security-Policy header field specifies a location to report violations.</t>
  </si>
  <si>
    <t>V3.4.8</t>
  </si>
  <si>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</si>
  <si>
    <t>V3.5</t>
  </si>
  <si>
    <t>Browser Origin Separation</t>
  </si>
  <si>
    <t>V3.5.1</t>
  </si>
  <si>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</si>
  <si>
    <t>The application uses cookie-based authentication, which introduces potential CSRF risks. To mitigate this, CSRF protection mechanisms will be enforced, including the use of SameSite cookie attributes and, where necessary, anti-CSRF tokens or additional request validation to ensure that state-changing operations originate from trusted contexts.</t>
  </si>
  <si>
    <t>Section 4.2 (Session Management and Re-authentication) and Section 4 (Functional Security Requirements), domainAnalysisAndRequirements.md</t>
  </si>
  <si>
    <t>V3.5.2</t>
  </si>
  <si>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</si>
  <si>
    <t>The application ensures that sensitive operations cannot be executed via requests that bypass CORS preflight validation. Additional safeguards, such as validation of Origin headers and enforcement of non-simple request requirements, will be applied to prevent unauthorized cross-origin interactions.</t>
  </si>
  <si>
    <t>Section 4 (Functional Security Requirements)</t>
  </si>
  <si>
    <t>V3.5.3</t>
  </si>
  <si>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</si>
  <si>
    <t>The application enforces the use of appropriate HTTP methods for all operations. State-changing actions such as purchases, refund requests, and administrative operations are exposed exclusively via POST, PUT, PATCH, or DELETE methods, while safe methods (e.g., GET) are used only for read-only operations.</t>
  </si>
  <si>
    <t>Section 3.1 (Business Logic &amp; Anti-Abuse Rules) and Section 2.1.2 (Backend Architecture), domainAnalysisAndRequirements.md</t>
  </si>
  <si>
    <t>V3.5.4</t>
  </si>
  <si>
    <t>Verify that separate applications are hosted on different hostnames to leverage the restrictions provided by same-origin policy, including how documents or scripts loaded by one origin can interact with resources from another origin and hostname-based restrictions on cookies.</t>
  </si>
  <si>
    <t>The system architecture separates backend services and database components, and communication is restricted to defined interfaces.</t>
  </si>
  <si>
    <t>Section 2.1 (Architecture) and Section 2.2 (Deployment), architectureAndDesign.md</t>
  </si>
  <si>
    <t>V3.5.5</t>
  </si>
  <si>
    <t>Verify that messages received by the postMessage interface are discarded if the origin of the message is not trusted, or if the syntax of the message is invalid.</t>
  </si>
  <si>
    <t>V3.5.6</t>
  </si>
  <si>
    <t>Verify that JSONP functionality is not enabled anywhere across the application to avoid Cross-Site Script Inclusion (XSSI) attacks.</t>
  </si>
  <si>
    <t>V3.5.7</t>
  </si>
  <si>
    <t>Verify that data requiring authorization is not included in script resource responses, like JavaScript files, to prevent Cross-Site Script Inclusion (XSSI) attacks.</t>
  </si>
  <si>
    <t>V3.5.8</t>
  </si>
  <si>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</si>
  <si>
    <t>V3.6</t>
  </si>
  <si>
    <t>External Resource Integrity</t>
  </si>
  <si>
    <t>V3.6.1</t>
  </si>
  <si>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</si>
  <si>
    <t>V3.7</t>
  </si>
  <si>
    <t>Other Browser Security Considerations</t>
  </si>
  <si>
    <t>V3.7.1</t>
  </si>
  <si>
    <t>Verify that the application only uses client-side technologies which are still supported and considered secure. Examples of technologies which do not meet this requirement include NSAPI plugins, Flash, Shockwave, ActiveX, Silverlight, NACL, or client-side Java applets.</t>
  </si>
  <si>
    <t>V3.7.2</t>
  </si>
  <si>
    <t>Verify that the application will only automatically redirect the user to a different hostname or domain (which is not controlled by the application) where the destination appears on an allowlist.</t>
  </si>
  <si>
    <t>V3.7.3</t>
  </si>
  <si>
    <t>Verify that the application shows a notification when the user is being redirected to a URL outside of the application's control, with an option to cancel the navigation.</t>
  </si>
  <si>
    <t>V3.7.4</t>
  </si>
  <si>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</si>
  <si>
    <t>V3.7.5</t>
  </si>
  <si>
    <t>Verify that the application behaves as documented (such as warning the user or blocking access) if the browser used to access the application does not support the expected security features.</t>
  </si>
  <si>
    <t>V4.1</t>
  </si>
  <si>
    <t>Generic Web Service Security</t>
  </si>
  <si>
    <t>V4.1.1</t>
  </si>
  <si>
    <t>Verify that every HTTP response with a message body contains a Content-Type header field that matches the actual content of the response, including the charset parameter to specify safe character encoding (e.g., UTF-8, ISO-8859-1) according to IANA Media Types, such as "text/", "/+xml" and "/xml".</t>
  </si>
  <si>
    <t>All HTTP responses include a Content-Type header that matches the response body. The application uses Spring Boot’s default message converters (Jackson for JSON), ensuring consistent content types such as application/json with UTF-8 encoding.</t>
  </si>
  <si>
    <t>V4.1.2</t>
  </si>
  <si>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</si>
  <si>
    <t>The application enforces HTTPS for all communications. Redirect behavior from HTTP to HTTPS will be handled at the infrastructure level (reverse proxy ). API endpoints are not intended for browser-based access and will not rely on transparent redirects for security.</t>
  </si>
  <si>
    <t>V4.1.3</t>
  </si>
  <si>
    <t>Verify that any HTTP header field used by the application and set by an intermediary layer, such as a load balancer, a web proxy, or a backend-for-frontend service, cannot be overridden by the end-user. Example headers might include X-Real-IP, X-Forwarded-*, or X-User-ID.</t>
  </si>
  <si>
    <t>The application will be deployed behind a trusted reverse proxy. Security-sensitive headers such as X-Forwarded-* will be handled exclusively by trusted infrastructure components, and the backend will be configured to ignore or sanitize any client-supplied versions of these headers.</t>
  </si>
  <si>
    <t>V4.1.4</t>
  </si>
  <si>
    <t>Verify that only HTTP methods that are explicitly supported by the application or its API (including OPTIONS during preflight requests) can be used and that unused methods are blocked.</t>
  </si>
  <si>
    <t>The API explicitly defines supported HTTP methods per endpoint. Unsupported methods are rejected automatically by the framework, and only appropriate methods (GET, POST, PUT, PATCH, DELETE) are allowed.</t>
  </si>
  <si>
    <t>V4.1.5</t>
  </si>
  <si>
    <t>Verify that per-message digital signatures are used to provide additional assurance on top of transport protections for requests or transactions which are highly sensitive or which traverse a number of systems.</t>
  </si>
  <si>
    <t>The application relies on HTTPS (TLS) for transport-level security and JWT-based authentication via Auth0. Additional per-message digital signatures are not required as the system does not involve multi-hop or high-assurance message integrity scenarios.</t>
  </si>
  <si>
    <t>V4.2</t>
  </si>
  <si>
    <t>HTTP Message Structure Validation</t>
  </si>
  <si>
    <t>V4.2.1</t>
  </si>
  <si>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</si>
  <si>
    <t>The application relies on the Spring Boot framework with an embedded Tomcat server to correctly parse HTTP messages and enforce protocol compliance, including protection against malformed requests. Additionally, the system is deployed behind a trusted reverse proxy - Nginx - which is configured according to security best practices to further mitigate risks such as HTTP request smuggling by enforcing proper request normalization and header handling.</t>
  </si>
  <si>
    <t>V4.2.2</t>
  </si>
  <si>
    <t>Verify that when generating HTTP messages, the Content-Length header field does not conflict with the length of the content as determined by the framing of the HTTP protocol, in order to prevent request smuggling attacks.</t>
  </si>
  <si>
    <t>HTTP response construction is handled by the framework, which automatically manages Content-Length headers and ensures consistency with the response body, preventing request smuggling vulnerabilities.</t>
  </si>
  <si>
    <t>V4.2.3</t>
  </si>
  <si>
    <t>Verify that the application does not send nor accept HTTP/2 or HTTP/3 messages with connection-specific header fields such as Transfer-Encoding to prevent response splitting and header injection attacks.</t>
  </si>
  <si>
    <t>The application relies on the underlying HTTP server implementation to enforce protocol compliance and prevent the use of invalid or connection-specific headers in HTTP/2 and HTTP/3. Proper configuration will be ensured during deployment.</t>
  </si>
  <si>
    <t>V4.2.4</t>
  </si>
  <si>
    <t>Verify that the application only accepts HTTP/2 and HTTP/3 requests where the header fields and values do not contain any CR (\r), LF (\n), or CRLF (\r\n) sequences, to prevent header injection attacks.</t>
  </si>
  <si>
    <t>The application relies on the web framework and server to validate HTTP headers and reject malformed input, including CRLF injection attempts. Additional validation may be enforced at the reverse proxy layer.</t>
  </si>
  <si>
    <t>Section 3.3 (Data &amp; Communication Integrity) and Section 6 (Secure Development Requirements), domainAnalysisAndRequirements.md</t>
  </si>
  <si>
    <t>V4.2.5</t>
  </si>
  <si>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</si>
  <si>
    <t>The application validates and constrains input data used in HTTP requests and headers. JWT tokens and headers are kept within safe size limits, and user input is validated to prevent excessively long values that could lead to denial-of-service conditions.</t>
  </si>
  <si>
    <t>V4.3</t>
  </si>
  <si>
    <t>GraphQL</t>
  </si>
  <si>
    <t>V4.3.1</t>
  </si>
  <si>
    <t>Verify that a query allowlist, depth limiting, amount limiting, or query cost analysis is used to prevent GraphQL or data layer expression Denial of Service (DoS) as a result of expensive, nested queries.</t>
  </si>
  <si>
    <t>The application does not use GraphQL. All interactions are performed through RESTful endpoints.</t>
  </si>
  <si>
    <t>V4.3.2</t>
  </si>
  <si>
    <t>Verify that GraphQL introspection queries are disabled in the production environment unless the GraphQL API is meant to be used by other parties.</t>
  </si>
  <si>
    <t>The application does not expose a GraphQL API.</t>
  </si>
  <si>
    <t>V4.4</t>
  </si>
  <si>
    <t>WebSocket</t>
  </si>
  <si>
    <t>V4.4.1</t>
  </si>
  <si>
    <t>Verify that WebSocket over TLS (WSS) is used for all WebSocket connections.</t>
  </si>
  <si>
    <t>The application does not use WebSocket communication. All interactions are performed over HTTPS.</t>
  </si>
  <si>
    <t>V4.4.2</t>
  </si>
  <si>
    <t>Verify that, during the initial HTTP WebSocket handshake, the Origin header field is checked against a list of origins allowed for the application.</t>
  </si>
  <si>
    <t>WebSocket handshake validation is not applicable as the application does not use WebSockets.</t>
  </si>
  <si>
    <t>V4.4.3</t>
  </si>
  <si>
    <t>Verify that, if the application's standard session management cannot be used, dedicated tokens are being used for this, which comply with the relevant Session Management security requirements.</t>
  </si>
  <si>
    <t>The application does not implement WebSocket-based session management.</t>
  </si>
  <si>
    <t>V4.4.4</t>
  </si>
  <si>
    <t>Verify that dedicated WebSocket session management tokens are initially obtained or validated through the previously authenticated HTTPS session when transitioning an existing HTTPS session to a WebSocket channel.</t>
  </si>
  <si>
    <t>The application does not use WebSocket connections or session transitions.</t>
  </si>
  <si>
    <t>V5.1</t>
  </si>
  <si>
    <t>File Handling Documentation</t>
  </si>
  <si>
    <t>V5.1.1</t>
  </si>
  <si>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</si>
  <si>
    <t>Out of Scope.</t>
  </si>
  <si>
    <t>V5.2</t>
  </si>
  <si>
    <t>File Upload and Content</t>
  </si>
  <si>
    <t>V5.2.1</t>
  </si>
  <si>
    <t>Verify that the application will only accept files of a size which it can process without causing a loss of performance or a denial of service attack.</t>
  </si>
  <si>
    <t>V5.2.2</t>
  </si>
  <si>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</si>
  <si>
    <t>V5.2.3</t>
  </si>
  <si>
    <t>Verify that the application checks compressed files (e.g., zip, gz, docx, odt) against maximum allowed uncompressed size and against maximum number of files before uncompressing the file.</t>
  </si>
  <si>
    <t>V5.2.4</t>
  </si>
  <si>
    <t>Verify that a file size quota and maximum number of files per user are enforced to ensure that a single user cannot fill up the storage with too many files, or excessively large files.</t>
  </si>
  <si>
    <t>V5.2.5</t>
  </si>
  <si>
    <t>Verify that the application does not allow uploading compressed files containing symlinks unless this is specifically required (in which case it will be necessary to enforce an allowlist of the files that can be symlinked to).</t>
  </si>
  <si>
    <t>V5.2.6</t>
  </si>
  <si>
    <t>Verify that the application rejects uploaded images with a pixel size larger than the maximum allowed, to prevent pixel flood attacks.</t>
  </si>
  <si>
    <t>V5.3</t>
  </si>
  <si>
    <t>File Storage</t>
  </si>
  <si>
    <t>V5.3.1</t>
  </si>
  <si>
    <t>Verify that files uploaded or generated by untrusted input and stored in a public folder, are not executed as server-side program code when accessed directly with an HTTP request.</t>
  </si>
  <si>
    <t>V5.3.2</t>
  </si>
  <si>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</si>
  <si>
    <t>The application creates files on the server using user-provided input for naming. To prevent path traversal and file inclusion vulnerabilities, filenames are strictly validated using allowlists of permitted characters and length constraints. File paths are resolved against a fixed base directory and normalized to ensure operations remain within authorized boundaries.</t>
  </si>
  <si>
    <t>V5.3.3</t>
  </si>
  <si>
    <t>Verify that server-side file processing, such as file decompression, ignores user-provided path information to prevent vulnerabilities such as zip slip.</t>
  </si>
  <si>
    <t>V5.4</t>
  </si>
  <si>
    <t>File Download</t>
  </si>
  <si>
    <t>V5.4.1</t>
  </si>
  <si>
    <t>Verify that the application validates or ignores user-submitted filenames, including in a JSON, JSONP, or URL parameter and specifies a filename in the Content-Disposition header field in the response.</t>
  </si>
  <si>
    <t>V5.4.2</t>
  </si>
  <si>
    <t>Verify that file names served (e.g., in HTTP response header fields or email attachments) are encoded or sanitized (e.g., following RFC 6266) to preserve document structure and prevent injection attacks.</t>
  </si>
  <si>
    <t>V5.4.3</t>
  </si>
  <si>
    <t>Verify that files obtained from untrusted sources are scanned by antivirus scanners to prevent serving of known malicious content.</t>
  </si>
  <si>
    <t>V6.1</t>
  </si>
  <si>
    <t>Authentication Documentation</t>
  </si>
  <si>
    <t>V6.1.1</t>
  </si>
  <si>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</si>
  <si>
    <t>Authentication-related protections such as brute-force protection, anomaly detection, and rate limiting are handled by the external identity provider (Auth0). These mechanisms include login attempt throttling, suspicious activity detection, and adaptive responses (e.g., CAPTCHA or blocking). The application relies on these controls and does not implement authentication logic directly.</t>
  </si>
  <si>
    <t>https://auth0.com/docs/secure/attack-protection</t>
  </si>
  <si>
    <t>V6.1.2</t>
  </si>
  <si>
    <t>Verify that a list of context-specific words is documented in order to prevent their use in passwords. The list could include permutations of organization names, product names, system identifiers, project codenames, department or role names, and similar.</t>
  </si>
  <si>
    <t>Password creation and validation are fully managed by an external identity provider (Auth0). The application does not directly enforce or control password composition rules, including restrictions on context-specific words. Such controls, if required, must be configured within the identity provider.</t>
  </si>
  <si>
    <t>V6.1.3</t>
  </si>
  <si>
    <t>Verify that, if the application includes multiple authentication pathways, these are all documented together with the security controls and authentication strength which must be consistently enforced across them.</t>
  </si>
  <si>
    <t>The application uses a single authentication pathway via Auth0 (OIDC/OAuth2), ensuring consistent enforcement of authentication controls across all users.</t>
  </si>
  <si>
    <t>https://auth0.com/docs/get-started/authentication-and-authorization-flow</t>
  </si>
  <si>
    <t>V6.2</t>
  </si>
  <si>
    <t>Password Security</t>
  </si>
  <si>
    <t>V6.2.1</t>
  </si>
  <si>
    <t>Verify that user set passwords are at least 8 characters in length although a minimum of 15 characters is strongly recommended.</t>
  </si>
  <si>
    <t>Password policies (minimum length, complexity, etc.) are enforced by Auth0 and configured through its dashboard.</t>
  </si>
  <si>
    <t>https://auth0.com/docs/authenticate/database-connections/password-options</t>
  </si>
  <si>
    <t>V6.2.2</t>
  </si>
  <si>
    <t>Verify that users can change their password.</t>
  </si>
  <si>
    <t>Password management, including password change functionality, is fully handled by the external identity provider (Auth0). The application does not provide any user-facing endpoint or workflow to change passwords.</t>
  </si>
  <si>
    <t>V6.2.3</t>
  </si>
  <si>
    <t>Verify that password change functionality requires the user's current and new password.</t>
  </si>
  <si>
    <t>This requirement is enforced by Auth0 within its hosted authentication flows. The application does not directly handle password validation or updates.</t>
  </si>
  <si>
    <t>V6.2.4</t>
  </si>
  <si>
    <t>Verify that passwords submitted during account registration or password change are checked against an available set of, at least, the top 3000 passwords which match the application's password policy, e.g. minimum length.</t>
  </si>
  <si>
    <t>V6.2.5</t>
  </si>
  <si>
    <t>Verify that passwords of any composition can be used, without rules limiting the type of characters permitted. There must be no requirement for a minimum number of upper or lower case characters, numbers, or special characters.</t>
  </si>
  <si>
    <t>Password handling, validation, storage, and policy enforcement are fully delegated to Auth0. The application does not process or store user credentials.</t>
  </si>
  <si>
    <t>V6.2.6</t>
  </si>
  <si>
    <t>Verify that password input fields use type=password to mask the entry. Applications may allow the user to temporarily view the entire masked password, or the last typed character of the password.</t>
  </si>
  <si>
    <t>V6.2.7</t>
  </si>
  <si>
    <t>Verify that "paste" functionality, browser password helpers, and external password managers are permitted.</t>
  </si>
  <si>
    <t>V6.2.8</t>
  </si>
  <si>
    <t>Verify that the application verifies the user's password exactly as received from the user, without any modifications such as truncation or case transformation.</t>
  </si>
  <si>
    <t>V6.2.9</t>
  </si>
  <si>
    <t>Verify that passwords of at least 64 characters are permitted.</t>
  </si>
  <si>
    <t>V6.2.10</t>
  </si>
  <si>
    <t>Verify that a user's password stays valid until it is discovered to be compromised or the user rotates it. The application must not require periodic credential rotation.</t>
  </si>
  <si>
    <t>V6.2.11</t>
  </si>
  <si>
    <t>Verify that the documented list of context specific words is used to prevent easy to guess passwords being created.</t>
  </si>
  <si>
    <t>V6.2.12</t>
  </si>
  <si>
    <t>Verify that passwords submitted during account registration or password changes are checked against a set of breached passwords.</t>
  </si>
  <si>
    <t>V6.3</t>
  </si>
  <si>
    <t>General Authentication Security</t>
  </si>
  <si>
    <t>V6.3.1</t>
  </si>
  <si>
    <t>Verify that controls to prevent attacks such as credential stuffing and password brute force are implemented according to the application's security documentation.</t>
  </si>
  <si>
    <t>Brute-force protection, anomaly detection, and rate limiting are implemented by Auth0’s Attack Protection mechanisms.</t>
  </si>
  <si>
    <t>V6.3.2</t>
  </si>
  <si>
    <t>Verify that default user accounts (e.g., "root", "admin", or "sa") are not present in the application or are disabled.</t>
  </si>
  <si>
    <t>The application does not define or expose default accounts. All identities are managed externally by Auth0.</t>
  </si>
  <si>
    <t>V6.3.3</t>
  </si>
  <si>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</si>
  <si>
    <t>Multi-factor authentication is supported by Auth0 but is not currently enforced or required by the application.</t>
  </si>
  <si>
    <t>V6.3.4</t>
  </si>
  <si>
    <t>Verify that, if the application includes multiple authentication pathways, there are no undocumented pathways and that security controls and authentication strength are enforced consistently.</t>
  </si>
  <si>
    <t>A single authentication mechanism (OIDC/OAuth2 via Auth0) is used, ensuring consistent enforcement.</t>
  </si>
  <si>
    <t>V6.3.5</t>
  </si>
  <si>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</si>
  <si>
    <t>User notifications are handled by Auth0 when configured. The application does not implement its own notification mechanisms.</t>
  </si>
  <si>
    <t>V6.3.6</t>
  </si>
  <si>
    <t>Verify that email is not used as either a single-factor or multi-factor authentication mechanism.</t>
  </si>
  <si>
    <t>Authentication is based on Auth0 secure flows and does not rely solely on email as an authentication factor.</t>
  </si>
  <si>
    <t>V6.3.7</t>
  </si>
  <si>
    <t>Verify that users are notified after updates to authentication details, such as credential resets or modification of the username or email address.</t>
  </si>
  <si>
    <t>Handled externally by Auth0 if enabled.</t>
  </si>
  <si>
    <t>V6.3.8</t>
  </si>
  <si>
    <t>Verify that valid users cannot be deduced from failed authentication challenges, such as by basing on error messages, HTTP response codes, or different response times. Registration and forgot password functionality must also have this protection.</t>
  </si>
  <si>
    <t>Authentication flows are handled by Auth0, which prevents user enumeration via generic error messages and consistent responses.</t>
  </si>
  <si>
    <t>http://auth0.com/docs/authenticate</t>
  </si>
  <si>
    <t>V6.4</t>
  </si>
  <si>
    <t>Authentication Factor Lifecycle and Recovery</t>
  </si>
  <si>
    <t>V6.4.1</t>
  </si>
  <si>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</si>
  <si>
    <t>Authentication lifecycle management (password reset, recovery, MFA reset, etc.) is fully handled by Auth0. The application does not implement these mechanisms.</t>
  </si>
  <si>
    <t>V6.4.2</t>
  </si>
  <si>
    <t>Verify that password hints or knowledge-based authentication (so-called "secret questions") are not present.</t>
  </si>
  <si>
    <t>V6.4.3</t>
  </si>
  <si>
    <t>Verify that a secure process for resetting a forgotten password is implemented, that does not bypass any enabled multi-factor authentication mechanisms.</t>
  </si>
  <si>
    <t>V6.4.4</t>
  </si>
  <si>
    <t>Verify that if a multi-factor authentication factor is lost, evidence of identity proofing is performed at the same level as during enrollment.</t>
  </si>
  <si>
    <t>V6.4.5</t>
  </si>
  <si>
    <t>Verify that renewal instructions for authentication mechanisms which expire are sent with enough time to be carried out before the old authentication mechanism expires, configuring automated reminders if necessary.</t>
  </si>
  <si>
    <t>V6.4.6</t>
  </si>
  <si>
    <t>Verify that administrative users can initiate the password reset process for the user, but that this does not allow them to change or choose the user's password. This prevents a situation where they know the user's password.</t>
  </si>
  <si>
    <t>V6.5</t>
  </si>
  <si>
    <t>General Multi-factor authentication requirements</t>
  </si>
  <si>
    <t>V6.5.1</t>
  </si>
  <si>
    <t>Verify that lookup secrets, out-of-band authentication requests or codes, and time-based one-time passwords (TOTPs) are only successfully usable once.</t>
  </si>
  <si>
    <t>Multi-factor authentication mechanisms are provided and managed by Auth0. The application does not directly implement or store MFA factors.</t>
  </si>
  <si>
    <t>V6.5.2</t>
  </si>
  <si>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</si>
  <si>
    <t>V6.5.3</t>
  </si>
  <si>
    <t>Verify that lookup secrets, out-of-band authentication code, and time-based one-time password seeds, are generated using a Cryptographically Secure Pseudorandom Number Generator (CSPRNG) to avoid predictable values.</t>
  </si>
  <si>
    <t>V6.5.4</t>
  </si>
  <si>
    <t>Verify that lookup secrets and out-of-band authentication codes have a minimum of 20 bits of entropy (typically 4 random alphanumeric characters or 6 random digits is sufficient).</t>
  </si>
  <si>
    <t>V6.5.5</t>
  </si>
  <si>
    <t>Verify that out-of-band authentication requests, codes, or tokens, as well as time-based one-time passwords (TOTPs) have a defined lifetime. Out of band requests must have a maximum lifetime of 10 minutes and for TOTP a maximum lifetime of 30 seconds.</t>
  </si>
  <si>
    <t>V6.5.6</t>
  </si>
  <si>
    <t>Verify that any authentication factor (including physical devices) can be revoked in case of theft or other loss.</t>
  </si>
  <si>
    <t>V6.5.7</t>
  </si>
  <si>
    <t>Verify that biometric authentication mechanisms are only used as secondary factors together with either something you have or something you know.</t>
  </si>
  <si>
    <t>V6.5.8</t>
  </si>
  <si>
    <t>Verify that time-based one-time passwords (TOTPs) are checked based on a time source from a trusted service and not from an untrusted or client provided time.</t>
  </si>
  <si>
    <t>V6.6</t>
  </si>
  <si>
    <t>Out-of-Band authentication mechanisms</t>
  </si>
  <si>
    <t>V6.6.1</t>
  </si>
  <si>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</si>
  <si>
    <t>Out-of-band authentication mechanisms (SMS, push, OTP) are handled by Auth0 when configured. The application does not implement these features.</t>
  </si>
  <si>
    <t>V6.6.2</t>
  </si>
  <si>
    <t>Verify that out-of-band authentication requests, codes, or tokens are bound to the original authentication request for which they were generated and are not usable for a previous or subsequent one.</t>
  </si>
  <si>
    <t>V6.6.3</t>
  </si>
  <si>
    <t>Verify that a code based out-of-band authentication mechanism is protected against brute force attacks by using rate limiting. Consider also using a code with at least 64 bits of entropy.</t>
  </si>
  <si>
    <t>V6.6.4</t>
  </si>
  <si>
    <t>Verify that, where push notifications are used for multi-factor authentication, rate limiting is used to prevent push bombing attacks. Number matching may also mitigate this risk.</t>
  </si>
  <si>
    <t>V6.7</t>
  </si>
  <si>
    <t>Cryptographic authentication mechanism</t>
  </si>
  <si>
    <t>V6.7.1</t>
  </si>
  <si>
    <t>Verify that the certificates used to verify cryptographic authentication assertions are stored in a way protects them from modification.</t>
  </si>
  <si>
    <t>JWT signature verification relies on public keys retrieved from Auth0’s JWKS endpoint. Key management and protection are handled by Auth0.</t>
  </si>
  <si>
    <t>https://auth0.com/docs/secure/tokens/json-web-tokens/json-web-key-sets</t>
  </si>
  <si>
    <t>V6.7.2</t>
  </si>
  <si>
    <t>Verify that the challenge nonce is at least 64 bits in length, and statistically unique or unique over the lifetime of the cryptographic device.</t>
  </si>
  <si>
    <t>Nonce handling is managed within Auth0 authentication flows (OIDC). The application does not generate or validate nonces directly.</t>
  </si>
  <si>
    <t>V6.8</t>
  </si>
  <si>
    <t>Authentication with an Identity Provider</t>
  </si>
  <si>
    <t>V6.8.1</t>
  </si>
  <si>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</si>
  <si>
    <t>The application uses a single identity provider (Auth0), so identity spoofing across providers is not applicable.</t>
  </si>
  <si>
    <t>V6.8.2</t>
  </si>
  <si>
    <t>Verify that the presence and integrity of digital signatures on authentication assertions (for example on JWTs or SAML assertions) are always validated, rejecting any assertions that are unsigned or have invalid signatures.</t>
  </si>
  <si>
    <t>The backend validates JWT access tokens issued by Auth0, including signature verification, issuer, audience, and expiration checks.</t>
  </si>
  <si>
    <t>https://auth0.com/docs/secure/tokens/json-web-tokens/validate-json-web-tokens</t>
  </si>
  <si>
    <t>V6.8.3</t>
  </si>
  <si>
    <t>Verify that SAML assertions are uniquely processed and used only once within the validity period to prevent replay attacks.</t>
  </si>
  <si>
    <t>The application does not use SAML-based authentication; it relies on OIDC/OAuth2 with JWTs.</t>
  </si>
  <si>
    <t>V6.8.4</t>
  </si>
  <si>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</si>
  <si>
    <t>Out of scope.</t>
  </si>
  <si>
    <t>V7.1</t>
  </si>
  <si>
    <t>Session Management Documentation</t>
  </si>
  <si>
    <t>V7.1.1</t>
  </si>
  <si>
    <t>Verify that the user's session inactivity timeout and absolute maximum session lifetime are documented, are appropriate in combination with other controls, and that the documentation includes justification for any deviations from NIST SP 800-63B re-authentication requirements.</t>
  </si>
  <si>
    <t>domainAnalysisAndRequirements.md</t>
  </si>
  <si>
    <t>V7.1.2</t>
  </si>
  <si>
    <t>Verify that the documentation defines how many concurrent (parallel) sessions are allowed for one account as well as the intended behaviors and actions to be taken when the maximum number of active sessions is reached.</t>
  </si>
  <si>
    <t>domainAnalysisAndRequirements.md and referenced in UC1(Login)</t>
  </si>
  <si>
    <t>V7.1.3</t>
  </si>
  <si>
    <t>Verify that all systems that create and manage user sessions as part of a federated identity management ecosystem (such as SSO systems) are documented along with controls to coordinate session lifetimes, termination, and any other conditions that require re-authentication.</t>
  </si>
  <si>
    <t>Since we are using na external Auth Provider, we need to document shared reponsabilities between Identity Provider and Backend (token lifetime, revocation, re-auth triggers, logout propagation).</t>
  </si>
  <si>
    <t>threatModel.md and domainAnalysisAndRequirements.md</t>
  </si>
  <si>
    <t>V7.2</t>
  </si>
  <si>
    <t>Fundamental Session Management Security</t>
  </si>
  <si>
    <t>V7.2.1</t>
  </si>
  <si>
    <t>Verify that the application performs all session token verification using a trusted, backend service.</t>
  </si>
  <si>
    <t>V7.2.2</t>
  </si>
  <si>
    <t>Verify that the application uses either self-contained or reference tokens that are dynamically generated for session management, i.e. not using static API secrets and keys.</t>
  </si>
  <si>
    <t>V7.2.3</t>
  </si>
  <si>
    <t>Verify that if reference tokens are used to represent user sessions, they are unique and generated using a cryptographically secure pseudo-random number generator (CSPRNG) and possess at least 128 bits of entropy.</t>
  </si>
  <si>
    <t>This requirement is not the most appropriate for the current architecture, because it applies to reference tokens. In our project, we assume that the external authentication provider issues JWTs, whose security depends on signature validation and approved signing algorithms rather than entropy of an opaque session identifier.</t>
  </si>
  <si>
    <t>V7.2.4</t>
  </si>
  <si>
    <t>Verify that the application generates a new session token on user authentication, including re-authentication, and terminates the current session token.</t>
  </si>
  <si>
    <t>This control is provider-managed: token renewal and re-authentication token issuance are handled by the external IdP(Auth0 like).</t>
  </si>
  <si>
    <t>V7.3</t>
  </si>
  <si>
    <t>Session Timeout</t>
  </si>
  <si>
    <t>V7.3.1</t>
  </si>
  <si>
    <t>Verify that there is an inactivity timeout such that re-authentication is enforced according to risk analysis and documented security decisions.</t>
  </si>
  <si>
    <t>V7.3.2</t>
  </si>
  <si>
    <t>Verify that there is an absolute maximum session lifetime such that re-authentication is enforced according to risk analysis and documented security decisions.</t>
  </si>
  <si>
    <t>V7.4</t>
  </si>
  <si>
    <t>Session Termination</t>
  </si>
  <si>
    <t>V7.4.1</t>
  </si>
  <si>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</si>
  <si>
    <t>UC1(Login)</t>
  </si>
  <si>
    <t>V7.4.2</t>
  </si>
  <si>
    <t>Verify that the application terminates all active sessions when a user account is disabled or deleted (such as an employee leaving the company).</t>
  </si>
  <si>
    <t>User account management (create, delete, disable) is not implemented (mocked data only).</t>
  </si>
  <si>
    <t>V7.4.3</t>
  </si>
  <si>
    <t>Verify that the application gives the option to terminate all other active sessions after a successful change or removal of any authentication factor (including password change via reset or recovery and, if present, an MFA settings update).</t>
  </si>
  <si>
    <t>We do not currently provide a feature or endpoint to terminate other active sessions after authentication factor changes.</t>
  </si>
  <si>
    <t>V7.4.4</t>
  </si>
  <si>
    <t>Verify that all pages that require authentication have easy and visible access to logout functionality.</t>
  </si>
  <si>
    <t xml:space="preserve">No Frontend has been developed. </t>
  </si>
  <si>
    <t>V7.4.5</t>
  </si>
  <si>
    <t>Verify that application administrators are able to terminate active sessions for an individual user or for all users.</t>
  </si>
  <si>
    <t>We do not provide an admin endpoint/workflow to terminate user or all active sessions.</t>
  </si>
  <si>
    <t>V7.5</t>
  </si>
  <si>
    <t>Defenses Against Session Abuse</t>
  </si>
  <si>
    <t>V7.5.1</t>
  </si>
  <si>
    <t>Verify that the application requires full re-authentication before allowing modifications to sensitive account attributes which may affect authentication such as email address, phone number, MFA configuration, or other information used in account recovery.</t>
  </si>
  <si>
    <t>We do not provide an user endpoint/workflow to change his own information.</t>
  </si>
  <si>
    <t>V7.5.2</t>
  </si>
  <si>
    <t>Verify that users are able to view and (having authenticated again with at least one factor) terminate any or all currently active sessions.</t>
  </si>
  <si>
    <t>V7.5.3</t>
  </si>
  <si>
    <t>Verify that the application requires further authentication with at least one factor or secondary verification before performing highly sensitive transactions or operations.</t>
  </si>
  <si>
    <t>V7.6</t>
  </si>
  <si>
    <t>Federated Re-authentication</t>
  </si>
  <si>
    <t>V7.6.1</t>
  </si>
  <si>
    <t>Verify that session lifetime and termination between Relying Parties (RPs) and Identity Providers (IdPs) behave as documented, requiring re-authentication as necessary such as when the maximum time between IdP authentication events is reached.</t>
  </si>
  <si>
    <t>Since we rely on external auth, we need our backend (RP) behavior to stay consistent with IdP session and logout behavior.</t>
  </si>
  <si>
    <t>threatModel and UC1(Login)</t>
  </si>
  <si>
    <t>V7.6.2</t>
  </si>
  <si>
    <t>Verify that creation of a session requires either the user's consent or an explicit action, preventing the creation of new application sessions without user interaction.</t>
  </si>
  <si>
    <t>We should ensure sessions are only created from explicit login actions, not silently.</t>
  </si>
  <si>
    <t>V8.1</t>
  </si>
  <si>
    <t>Authorization Documentation</t>
  </si>
  <si>
    <t>V8.1.1</t>
  </si>
  <si>
    <t>Verify that authorization documentation defines rules for restricting function-level and data-specific access based on consumer permissions and resource attributes.</t>
  </si>
  <si>
    <t>This is core to the project because nearly every use case depends on role restrictions and on who can access which business data. We should document both role-based access and ownership-based access.</t>
  </si>
  <si>
    <t>V8.1.2</t>
  </si>
  <si>
    <t>Verify that authorization documentation defines rules for field-level access restrictions (both read and write) based on consumer permissions and resource attributes. Note that these rules might depend on other attribute values of the relevant data object, such as state or status.</t>
  </si>
  <si>
    <t>Full attribute-based access control would be excessive, but we should still document which fields each role can read or modify. This is especially relevant for refund data and user roles.</t>
  </si>
  <si>
    <t>V8.1.3</t>
  </si>
  <si>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</si>
  <si>
    <t>V8.1.4</t>
  </si>
  <si>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</si>
  <si>
    <t>Not applicable: authorization is static (RBAC + resource ownership), and the system does not use contextual risk signals or an adaptive policy engine to make dynamic allow/challenge/deny/step-up decisions.</t>
  </si>
  <si>
    <t>V8.2</t>
  </si>
  <si>
    <t>General Authorization Design</t>
  </si>
  <si>
    <t>V8.2.1</t>
  </si>
  <si>
    <t>Verify that the application ensures that function-level access is restricted to consumers with explicit permissions.</t>
  </si>
  <si>
    <t>Only Customers purchase/request refunds, only Support/Admin handle refunds, and only Admin manages catalog and roles.</t>
  </si>
  <si>
    <t>domainAnalysisAndRequirements.md and architectureAndDesign.md</t>
  </si>
  <si>
    <t>V8.2.2</t>
  </si>
  <si>
    <t>Verify that the application ensures that data-specific access is restricted to consumers with explicit permissions to specific data items to mitigate insecure direct object reference (IDOR) and broken object level authorization (BOLA).</t>
  </si>
  <si>
    <t>domainAnalysisAndRequirements.md and threatModel.md</t>
  </si>
  <si>
    <t>V8.2.3</t>
  </si>
  <si>
    <t>Verify that the application ensures that field-level access is restricted to consumers with explicit permissions to specific fields to mitigate broken object property level authorization (BOPLA).</t>
  </si>
  <si>
    <t>architectureAndDesign.md</t>
  </si>
  <si>
    <t>V8.2.4</t>
  </si>
  <si>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</si>
  <si>
    <t>V8.3</t>
  </si>
  <si>
    <t>Operation Level Authorization</t>
  </si>
  <si>
    <t>V8.3.1</t>
  </si>
  <si>
    <t>Verify that the application enforces authorization rules at a trusted service layer and doesn't rely on controls that an untrusted consumer could manipulate, such as client-side JavaScript.</t>
  </si>
  <si>
    <t>V8.3.2</t>
  </si>
  <si>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</si>
  <si>
    <t>V8.3.3</t>
  </si>
  <si>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</si>
  <si>
    <t>This is mainly relevant for microservices or delegated service-to-service calls. Our current architecture is a single backend with a direct database, so this control is not central right now.</t>
  </si>
  <si>
    <t>V8.4</t>
  </si>
  <si>
    <t>Other Authorization Considerations</t>
  </si>
  <si>
    <t>V8.4.1</t>
  </si>
  <si>
    <t>Verify that multi-tenant applications use cross-tenant controls to ensure consumer operations will never affect tenants with which they do not have permissions to interact.</t>
  </si>
  <si>
    <t>The application is not multi-tenant. There are different roles, but not separate tenants or organizations.</t>
  </si>
  <si>
    <t>V8.4.2</t>
  </si>
  <si>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</si>
  <si>
    <t>Out of scope. A simpler admin model with strong server-side RBAC is enough for now.</t>
  </si>
  <si>
    <t>V9.1</t>
  </si>
  <si>
    <t>Token source and integrity</t>
  </si>
  <si>
    <t>V9.1.1</t>
  </si>
  <si>
    <t>Verify that self-contained tokens are validated using their digital signature or MAC to protect against tampering before accepting the token's contents.</t>
  </si>
  <si>
    <t>A dedicated JWT Middleware in the backend should validate the JWT signature or MAC before any claim such as sub, role, exp, or iat is trusted by controllers, services, or guards.</t>
  </si>
  <si>
    <t>architectureAndDesign.md and domainAnalysisAndRequirements.md</t>
  </si>
  <si>
    <t>V9.1.2</t>
  </si>
  <si>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</si>
  <si>
    <t>architectureAndDesing.md and domainAnalysisAndRequirements.md</t>
  </si>
  <si>
    <t>V9.1.3</t>
  </si>
  <si>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</si>
  <si>
    <t>JWT validation is performed only with key material from the pre-configured Auth0 issuer and its trusted JWKS endpoint. The backend must not trust attacker-controlled key references such as jku, jwk, or x5u unless they are explicitly allowlisted.</t>
  </si>
  <si>
    <t>architectureAndDesing.md and threatModel.md</t>
  </si>
  <si>
    <t>V9.2</t>
  </si>
  <si>
    <t>Token content</t>
  </si>
  <si>
    <t>V9.2.1</t>
  </si>
  <si>
    <t>Verify that, if a validity time span is present in the token data, the token and its content are accepted only if the verification time is within this validity time span. For example, for JWTs, the claims 'nbf' and 'exp' must be verified.</t>
  </si>
  <si>
    <t>The backend should only accept tokens during their valid time window and reject expired or not-yet-valid tokens.</t>
  </si>
  <si>
    <t>V9.2.2</t>
  </si>
  <si>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</si>
  <si>
    <t>V9.2.3</t>
  </si>
  <si>
    <t>Verify that the service only accepts tokens which are intended for use with that service (audience). For JWTs, this can be achieved by validating the 'aud' claim against an allowlist defined in the service.</t>
  </si>
  <si>
    <t>The backend should validate the audience claim against the API's configured audience so tokens minted for another client or service cannot be reused.</t>
  </si>
  <si>
    <t>architectureAndDesign.md and threatModel.md</t>
  </si>
  <si>
    <t>V9.2.4</t>
  </si>
  <si>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</si>
  <si>
    <t>V10.1</t>
  </si>
  <si>
    <t>Generic OAuth and OIDC Security</t>
  </si>
  <si>
    <t>V10.1.1</t>
  </si>
  <si>
    <t>Verify that tokens are only sent to components that strictly need them. For example, when using a backend-for-frontend pattern for browser-based JavaScript applications, access and refresh tokens shall only be accessible for the backend.</t>
  </si>
  <si>
    <t>V10.1.2</t>
  </si>
  <si>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</si>
  <si>
    <t>The backend only accepts and processes access tokens resulting from an explicit authentication flow initiated by the user through Auth0. Tokens received outside of the standard OIDC authorization code flow are rejected.</t>
  </si>
  <si>
    <t>V10.2</t>
  </si>
  <si>
    <t>OAuth Client</t>
  </si>
  <si>
    <t>V10.2.1</t>
  </si>
  <si>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</si>
  <si>
    <t>The application is a backend-only REST API and does not implement a browser-based OAuth client. There is no frontend to perform browser-based authorization code flows. Auth0 handles the authorization flow externally.</t>
  </si>
  <si>
    <t>V10.2.2</t>
  </si>
  <si>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</si>
  <si>
    <t>The application uses a single authorization server (Auth0). Mix-up attacks apply when multiple authorization servers are used, which is not the case in this architecture.</t>
  </si>
  <si>
    <t>V10.2.3</t>
  </si>
  <si>
    <t>Verify that the OAuth client only requests the required scopes (or other authorization parameters) in requests to the authorization server.</t>
  </si>
  <si>
    <t>V10.3</t>
  </si>
  <si>
    <t>OAuth Resource Server</t>
  </si>
  <si>
    <t>V10.3.1</t>
  </si>
  <si>
    <t>Verify that the resource server only accepts access tokens that are intended for use with that service (audience). The audience may be included in a structured access token (such as the 'aud' claim in JWT), or it can be checked using the token introspection endpoint.</t>
  </si>
  <si>
    <t>The backend (resource server) validates the audience (aud) claim in every JWT access token to ensure it is intended for this API. Tokens with a mismatched audience are rejected. The expected audience is configured as a backend environment variable matching the Auth0 API identifier.</t>
  </si>
  <si>
    <t>V10.3.2</t>
  </si>
  <si>
    <t>Verify that the resource server enforces authorization decisions based on claims from the access token that define delegated authorization. If claims such as 'sub', 'scope', and 'authorization_details' are present, they must be part of the decision.</t>
  </si>
  <si>
    <t>Authorization decisions are based on claims extracted from the validated JWT access token, including roles (custom claim) and user identity (sub claim). The RoleGuard service layer enforces RBAC based on these claims.</t>
  </si>
  <si>
    <t>V10.3.3</t>
  </si>
  <si>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</si>
  <si>
    <t>The backend identifies unique users via the sub claim in the JWT access token. The sub claim is a stable, unique identifier assigned by Auth0 that cannot be reassigned to another user.</t>
  </si>
  <si>
    <t>V10.3.4</t>
  </si>
  <si>
    <t>Verify that, if the resource server requires specific authentication strength, methods, or recentness, it verifies that the presented access token satisfies these constraints. For example, if present, using the OIDC 'acr', 'amr' and 'auth_time' claims respectively.</t>
  </si>
  <si>
    <t>The backend does not currently require specific authentication strength or method verification beyond valid JWT signature and standard claims (exp, aud, iss). Step-up authentication via auth_time/acr/amr is documented as a future enhancement.</t>
  </si>
  <si>
    <t>V10.3.5</t>
  </si>
  <si>
    <t>Verify that the resource server prevents the use of stolen access tokens or replay of access tokens (from unauthorized parties) by requiring sender-constrained access tokens, either Mutual TLS for OAuth 2 or OAuth 2 Demonstration of Proof of Possession (DPoP).</t>
  </si>
  <si>
    <t>L3 control. Sender-constrained (DPoP/mTLS-bound) access tokens are not implemented in the current architecture. Token security relies on HTTPS transport, short token lifetimes, and signature validation.</t>
  </si>
  <si>
    <t>V10.4</t>
  </si>
  <si>
    <t>OAuth Authorization Server</t>
  </si>
  <si>
    <t>V10.4.1</t>
  </si>
  <si>
    <t>Verify that the authorization server validates redirect URIs based on a client-specific allowlist of pre-registered URIs using exact string comparison.</t>
  </si>
  <si>
    <t>Provider-managed: Auth0 enforces redirect URI validation using exact string matching against pre-registered URIs configured in the Auth0 application settings.</t>
  </si>
  <si>
    <t>https://auth0.com/docs/authenticate/login/redirect-users-after-login</t>
  </si>
  <si>
    <t>V10.4.2</t>
  </si>
  <si>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</si>
  <si>
    <t>Provider-managed: Auth0 enforces single-use authorization codes. Each code can only be exchanged once for a token; replay attempts are rejected.</t>
  </si>
  <si>
    <t>https://auth0.com/docs/get-started/authentication-and-authorization-flow/authorization-code-flow</t>
  </si>
  <si>
    <t>V10.4.3</t>
  </si>
  <si>
    <t>Verify that the authorization code is short-lived. The maximum lifetime can be up to 10 minutes for L1 and L2 applications and up to 1 minute for L3 applications.</t>
  </si>
  <si>
    <t>Provider-managed: Auth0 issues short-lived authorization codes with a default lifetime well under 10 minutes, consistent with L1/L2 requirements.</t>
  </si>
  <si>
    <t>V10.4.4</t>
  </si>
  <si>
    <t>Verify that for a given client, the authorization server only allows the usage of grants that this client needs to use. Note that the grants 'token' (Implicit flow) and 'password' (Resource Owner Password Credentials flow) must no longer be used.</t>
  </si>
  <si>
    <t>Provider-managed: Auth0 is configured to allow only the Authorization Code grant type for this application. The implicit grant (response_type=token) is disabled.</t>
  </si>
  <si>
    <t>V10.4.5</t>
  </si>
  <si>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</si>
  <si>
    <t>Provider-managed: Auth0 implements refresh token rotation and automatic reuse detection to mitigate replay attacks for public clients.</t>
  </si>
  <si>
    <t>https://auth0.com/docs/secure/tokens/refresh-tokens/refresh-token-rotation</t>
  </si>
  <si>
    <t>V10.4.6</t>
  </si>
  <si>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</si>
  <si>
    <t>Provider-managed: Auth0 supports and enforces Proof Key for Code Exchange (PKCE) for authorization code flows to prevent code interception attacks.</t>
  </si>
  <si>
    <t>https://auth0.com/docs/get-started/authentication-and-authorization-flow/authorization-code-flow-with-pkce</t>
  </si>
  <si>
    <t>V10.4.7</t>
  </si>
  <si>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</si>
  <si>
    <t>Dynamic client registration is not enabled in Auth0 for this application. All OAuth clients are pre-registered via the Auth0 dashboard.</t>
  </si>
  <si>
    <t>V10.4.8</t>
  </si>
  <si>
    <t>Verify that refresh tokens have an absolute expiration, including if sliding refresh token expiration is applied.</t>
  </si>
  <si>
    <t>Provider-managed: Auth0 supports absolute expiration and sliding expiration for refresh tokens, configured via the Auth0 dashboard.</t>
  </si>
  <si>
    <t>https://auth0.com/docs/secure/tokens/refresh-tokens/configure-refresh-token-expiration</t>
  </si>
  <si>
    <t>V10.4.9</t>
  </si>
  <si>
    <t>Verify that refresh tokens and reference access tokens can be revoked by an authorized user using the authorization server user interface, to mitigate the risk of malicious clients or stolen tokens.</t>
  </si>
  <si>
    <t>Provider-managed: Auth0 provides a dashboard and Management API to revoke refresh tokens and active sessions for specific users.</t>
  </si>
  <si>
    <t>https://auth0.com/docs/secure/tokens/refresh-tokens/revoke-refresh-tokens</t>
  </si>
  <si>
    <t>V10.4.10</t>
  </si>
  <si>
    <t>Verify that confidential client is authenticated for client-to-authorized server backchannel requests such as token requests, pushed authorization requests (PAR), and token revocation requests.</t>
  </si>
  <si>
    <t>Provider-managed: Auth0 authenticates confidential clients using client credentials (client_id + client_secret or private_key_jwt) for backchannel token requests.</t>
  </si>
  <si>
    <t>https://auth0.com/docs/get-started/authentication-and-authorization-flow/client-credentials-flow</t>
  </si>
  <si>
    <t>V10.4.11</t>
  </si>
  <si>
    <t>Verify that the authorization server configuration only assigns the required scopes to the OAuth client.</t>
  </si>
  <si>
    <t>Provider-managed: Scopes are configured per API and per client application in the Auth0 dashboard. Only the required scopes are assigned.</t>
  </si>
  <si>
    <t>https://auth0.com/docs/get-started/apis/scopes</t>
  </si>
  <si>
    <t>V10.4.12</t>
  </si>
  <si>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</si>
  <si>
    <t>L3 control. Response mode restrictions are not configured as the application uses the standard code flow only.</t>
  </si>
  <si>
    <t>V10.4.13</t>
  </si>
  <si>
    <t>Verify that grant type 'code' is always used together with pushed authorization requests (PAR).</t>
  </si>
  <si>
    <t>L3 control. Pushed Authorization Requests (PAR) are not required in the current architecture.</t>
  </si>
  <si>
    <t>V10.4.14</t>
  </si>
  <si>
    <t>Verify that the authorization server issues only sender-constrained (Proof-of-Possession) access tokens, either with certificate-bound access tokens using mutual TLS (mTLS) or DPoP-bound access tokens (Demonstration of Proof of Possession).</t>
  </si>
  <si>
    <t>L3 control. Sender-constrained (DPoP/certificate-bound) access tokens are not implemented in the current Phase 1 scope.</t>
  </si>
  <si>
    <t>V10.4.15</t>
  </si>
  <si>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</si>
  <si>
    <t>L3 control. Server-side Rich Authorization Requests (RAR) are outside the current project scope.</t>
  </si>
  <si>
    <t>V10.4.16</t>
  </si>
  <si>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</si>
  <si>
    <t>L3 control. Public-key-based client authentication (private_key_jwt) is not enforced in the current scope; client_secret is used.</t>
  </si>
  <si>
    <t>V10.5</t>
  </si>
  <si>
    <t>OIDC Client</t>
  </si>
  <si>
    <t>V10.5.1</t>
  </si>
  <si>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</si>
  <si>
    <t>The backend acts as a resource server (API), not an OIDC relying party. It does not process ID Tokens. OIDC client behavior, including nonce validation, is managed by the token requester (e.g., Postman or future frontend).</t>
  </si>
  <si>
    <t>V10.5.2</t>
  </si>
  <si>
    <t>Verify that the client uniquely identifies the user from ID Token claims, usually the 'sub' claim, which cannot be reassigned to other users (for the scope of an identity provider).</t>
  </si>
  <si>
    <t>The backend identifies users from the sub claim in the access token (not ID Token). The sub claim from Auth0 is a stable, unique identifier per user that cannot be reassigned.</t>
  </si>
  <si>
    <t>V10.5.3</t>
  </si>
  <si>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</si>
  <si>
    <t>The application uses a single authorization server (Auth0). Authorization server metadata mix-up attacks are not applicable with a single trusted issuer.</t>
  </si>
  <si>
    <t>V10.5.4</t>
  </si>
  <si>
    <t>Verify that the client validates that the ID Token is intended to be used for that client (audience) by checking that the 'aud' claim from the token is equal to the 'client_id' value for the client.</t>
  </si>
  <si>
    <t>The backend does not process ID Tokens. It validates only access tokens with audience (aud) checking. ID Token audience validation is the responsibility of the OIDC client.</t>
  </si>
  <si>
    <t>V10.5.5</t>
  </si>
  <si>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</si>
  <si>
    <t>Back-channel logout is not implemented in the current backend-only Phase 1 architecture. Logout is handled via logout_timestamp validation against token iat.</t>
  </si>
  <si>
    <t>V10.6</t>
  </si>
  <si>
    <t>OpenID Provider</t>
  </si>
  <si>
    <t>V10.6.1</t>
  </si>
  <si>
    <t>Verify that the OpenID Provider only allows values 'code', 'ciba', 'id_token', or 'id_token code' for response mode. Note that 'code' is preferred over 'id_token code' (the OIDC Hybrid flow), and 'token' (any Implicit flow) must not be used.</t>
  </si>
  <si>
    <t>Provider-managed: Auth0 as the OpenID Provider supports only secure response types (code) for the configured application.</t>
  </si>
  <si>
    <t>V10.6.2</t>
  </si>
  <si>
    <t>Verify that the OpenID Provider mitigates denial of service through forced logout. By obtaining explicit confirmation from the end-user or, if present, validating parameters in the logout request (initiated by the relying party), such as the 'id_token_hint'.</t>
  </si>
  <si>
    <t>Provider-managed: Auth0 handles logout session management including confirmation mechanisms.</t>
  </si>
  <si>
    <t>https://auth0.com/docs/authenticate/login/logout</t>
  </si>
  <si>
    <t>V10.7</t>
  </si>
  <si>
    <t>Consent Management</t>
  </si>
  <si>
    <t>V10.7.1</t>
  </si>
  <si>
    <t>Verify that the authorization server ensures that the user consents to each authorization request. If the identity of the client cannot be assured, the authorization server must always explicitly prompt the user for consent.</t>
  </si>
  <si>
    <t>Provider-managed: Auth0 handles user consent prompts during authorization flows, displaying the requested permissions and client identity.</t>
  </si>
  <si>
    <t>V10.7.2</t>
  </si>
  <si>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</si>
  <si>
    <t>Provider-managed: Auth0 consent screens present clear information about the requesting application and requested scopes/permissions.</t>
  </si>
  <si>
    <t>V10.7.3</t>
  </si>
  <si>
    <t>Verify that the user can review, modify, and revoke consents which the user has granted through the authorization server.</t>
  </si>
  <si>
    <t>User consent review and revocation is managed via Auth0 account settings or admin dashboard, not implemented in the backend application.</t>
  </si>
  <si>
    <t>V11.1</t>
  </si>
  <si>
    <t>Cryptographic Inventory and Documentation</t>
  </si>
  <si>
    <t>V11.1.1</t>
  </si>
  <si>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</si>
  <si>
    <t>Document cryptographic key lifecycle and ownership split (Auth0-managed signing keys/JWKS; backend-managed verification config and secrets).</t>
  </si>
  <si>
    <t>V11.1.2</t>
  </si>
  <si>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</si>
  <si>
    <t>Maintain an inventory of cryptographic assets used by the project: Auth0 JWT signing keys (via JWKS), TLS certificates, and any backend secrets/config values.</t>
  </si>
  <si>
    <t>V11.1.3</t>
  </si>
  <si>
    <t>Verify that cryptographic discovery mechanisms are employed to identify all instances of cryptography in the system, including encryption, hashing, and signing operations.</t>
  </si>
  <si>
    <t>V11.1.4</t>
  </si>
  <si>
    <t>Verify that a cryptographic inventory is maintained. This must include a documented plan that outlines the migration path to new cryptographic standards, such as post-quantum cryptography, in order to react to future threats.</t>
  </si>
  <si>
    <t>V11.2</t>
  </si>
  <si>
    <t>Secure Cryptography Implementation</t>
  </si>
  <si>
    <t>V11.2.1</t>
  </si>
  <si>
    <t>Verify that industry-validated implementations (including libraries and hardware-accelerated implementations) are used for cryptographic operations.</t>
  </si>
  <si>
    <t>Use industry-validated crypto implementations only (Auth0 token issuance/signing and standard JWT/TLS libraries on backend).</t>
  </si>
  <si>
    <t>V11.2.2</t>
  </si>
  <si>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</si>
  <si>
    <t>Crypto agility is primarily provider-managed (Auth0). Backend keeps algorithm/issuer/audience configuration explicit to support safe upgrades.</t>
  </si>
  <si>
    <t>V11.2.3</t>
  </si>
  <si>
    <t>Verify that all cryptographic primitives utilize a minimum of 128-bits of security based on the algorithm, key size, and configuration. For example, a 256-bit ECC key provides roughly 128 bits of security where RSA requires a 3072-bit key to achieve 128 bits of security.</t>
  </si>
  <si>
    <t>Accept only approved modern algorithms and key sizes configured by Auth0/JWT validation policy; avoid weak crypto options.</t>
  </si>
  <si>
    <t>V11.2.4</t>
  </si>
  <si>
    <t>Verify that all cryptographic operations are constant-time, with no 'short-circuit' operations in comparisons, calculations, or returns, to avoid leaking information.</t>
  </si>
  <si>
    <t>No custom cryptographic primitives are implemented in backend code; constant-time behavior is delegated to vetted libraries/providers.</t>
  </si>
  <si>
    <t>V11.2.5</t>
  </si>
  <si>
    <t>Verify that all cryptographic modules fail securely, and errors are handled in a way that does not enable vulnerabilities, such as Padding Oracle attacks.</t>
  </si>
  <si>
    <t>Cryptographic failures are handled securely: token validation errors lead to deny-by-default responses without sensitive error leakage.</t>
  </si>
  <si>
    <t>threatModel.md and architectureAndDesign.md</t>
  </si>
  <si>
    <t>V11.3</t>
  </si>
  <si>
    <t>Encryption Algorithms</t>
  </si>
  <si>
    <t>V11.3.1</t>
  </si>
  <si>
    <t>Verify that insecure block modes (e.g., ECB) and weak padding schemes (e.g., PKCS#1 v1.5) are not used.</t>
  </si>
  <si>
    <t>V11.3.2</t>
  </si>
  <si>
    <t>Verify that only approved ciphers and modes such as AES with GCM are used.</t>
  </si>
  <si>
    <t>Cipher/mode selection is provider/platform managed in current scope (Auth0/TLS stack), not custom backend crypto implementation.</t>
  </si>
  <si>
    <t>V11.3.3</t>
  </si>
  <si>
    <t>Verify that encrypted data is protected against unauthorized modification preferably by using an approved authenticated encryption method or by combining an approved encryption method with an approved MAC algorithm.</t>
  </si>
  <si>
    <t>Application does not implement bespoke data encryption flows; integrity/confidentiality for tokens relies on signed JWT + TLS.</t>
  </si>
  <si>
    <t>V11.3.4</t>
  </si>
  <si>
    <t>Verify that nonces, initialization vectors, and other single-use numbers are not used for more than one encryption key and data-element pair. The method of generation must be appropriate for the algorithm being used.</t>
  </si>
  <si>
    <t>V11.3.5</t>
  </si>
  <si>
    <t>Verify that any combination of an encryption algorithm and a MAC algorithm is operating in encrypt-then-MAC mode.</t>
  </si>
  <si>
    <t>V11.4</t>
  </si>
  <si>
    <t>Hashing and Hash-based Functions</t>
  </si>
  <si>
    <t>V11.4.1</t>
  </si>
  <si>
    <t>Verify that only approved hash functions are used for general cryptographic use cases, including digital signatures, HMAC, KDF, and random bit generation. Disallowed hash functions, such as MD5, must not be used for any cryptographic purpose.</t>
  </si>
  <si>
    <t>Allow only approved hash/signature families through JWT verification policy and provider configuration; disallow legacy weak hashes.</t>
  </si>
  <si>
    <t>V11.4.2</t>
  </si>
  <si>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</si>
  <si>
    <t>Password hashing is managed by external identity provider (Auth0); backend does not store user passwords.</t>
  </si>
  <si>
    <t>domainAnalysisAndRequirements.md and UC1_Login/README.MD</t>
  </si>
  <si>
    <t>V11.4.3</t>
  </si>
  <si>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</si>
  <si>
    <t>Digital signature/integrity validation for tokens depends on collision-resistant modern algorithms configured between Auth0 and backend verifier.</t>
  </si>
  <si>
    <t>V11.4.4</t>
  </si>
  <si>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</si>
  <si>
    <t>Backend does not derive cryptographic keys from user passwords in current architecture.</t>
  </si>
  <si>
    <t>V11.5</t>
  </si>
  <si>
    <t>Random Values</t>
  </si>
  <si>
    <t>V11.5.1</t>
  </si>
  <si>
    <t>Verify that all random numbers and strings which are intended to be non-guessable must be generated using a cryptographically secure pseudo-random number generator (CSPRNG) and have at least 128 bits of entropy. Note that UUIDs do not respect this condition.</t>
  </si>
  <si>
    <t>Security-sensitive random values (session/token related) are provider-managed (Auth0) or generated by platform CSPRNG mechanisms.</t>
  </si>
  <si>
    <t>V11.5.2</t>
  </si>
  <si>
    <t>Verify that the random number generation mechanism in use is designed to work securely, even under heavy demand.</t>
  </si>
  <si>
    <t>No custom high-throughput RNG component is implemented in this phase.</t>
  </si>
  <si>
    <t>V11.6</t>
  </si>
  <si>
    <t>Public Key Cryptography</t>
  </si>
  <si>
    <t>V11.6.1</t>
  </si>
  <si>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</si>
  <si>
    <t>Public key signature generation is provider-managed (Auth0); backend verifies tokens against trusted issuer/JWKS using approved libraries.</t>
  </si>
  <si>
    <t>V11.6.2</t>
  </si>
  <si>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</si>
  <si>
    <t>Key exchange and transport security rely on TLS/platform defaults and trusted provider configuration, not custom protocol design.</t>
  </si>
  <si>
    <t>V11.7</t>
  </si>
  <si>
    <t>In-Use Data Cryptography</t>
  </si>
  <si>
    <t>V11.7.1</t>
  </si>
  <si>
    <t>Verify that full memory encryption is in use that protects sensitive data while it is in use, preventing access by unauthorized users or processes.</t>
  </si>
  <si>
    <t>Full memory encryption/in-use data encryption is outside the scope of this university backend project phase.</t>
  </si>
  <si>
    <t>V11.7.2</t>
  </si>
  <si>
    <t>Verify that data minimization ensures the minimal amount of data is exposed during processing, and ensure that data is encrypted immediately after use or as soon as feasible.</t>
  </si>
  <si>
    <t>Apply data minimization in processing paths and avoid exposing unnecessary sensitive data in responses/logs.</t>
  </si>
  <si>
    <t>V12.1</t>
  </si>
  <si>
    <t>General TLS Security Guidance</t>
  </si>
  <si>
    <t>V12.1.1</t>
  </si>
  <si>
    <t>Verify that only the latest recommended versions of the TLS protocol are enabled, such as TLS 1.2 and TLS 1.3. The latest version of the TLS protocol must be the preferred option.</t>
  </si>
  <si>
    <t>V12.1.2</t>
  </si>
  <si>
    <t>Verify that only recommended cipher suites are enabled, with the strongest cipher suites set as preferred. L3 applications must only support cipher suites which provide forward secrecy.</t>
  </si>
  <si>
    <t>V12.1.3</t>
  </si>
  <si>
    <t>Verify that the application validates that mTLS client certificates are trusted before using the certificate identity for authentication or authorization.</t>
  </si>
  <si>
    <t>mTLS client certificates are not used in the current architecture. Authentication relies on Auth0-issued JWTs, not client certificates.</t>
  </si>
  <si>
    <t>V12.1.4</t>
  </si>
  <si>
    <t>Verify that proper certification revocation, such as Online Certificate Status Protocol (OCSP) Stapling, is enabled and configured.</t>
  </si>
  <si>
    <t>V12.1.5</t>
  </si>
  <si>
    <t>Verify that Encrypted Client Hello (ECH) is enabled in the application's TLS settings to prevent exposure of sensitive metadata, such as the Server Name Indication (SNI), during TLS handshake processes.</t>
  </si>
  <si>
    <t>V12.2</t>
  </si>
  <si>
    <t>HTTPS Communication with External Facing Services</t>
  </si>
  <si>
    <t>V12.2.1</t>
  </si>
  <si>
    <t>Verify that TLS is used for all connectivity between a client and external facing, HTTP-based services, and does not fall back to insecure or unencrypted communications.</t>
  </si>
  <si>
    <t>TLS is enforced for all client-to-backend connectivity over HTTPS. No fallback to HTTP or unencrypted communication is allowed. API clients must connect via HTTPS with Bearer JWT in Authorization header.</t>
  </si>
  <si>
    <t>V12.2.2</t>
  </si>
  <si>
    <t>Verify that external facing services use publicly trusted TLS certificates.</t>
  </si>
  <si>
    <t>External-facing services use publicly trusted TLS certificates issued by reputable CAs. No self-signed certificates are used in production.</t>
  </si>
  <si>
    <t>V12.3</t>
  </si>
  <si>
    <t>General Service to Service Communication Security</t>
  </si>
  <si>
    <t>V12.3.1</t>
  </si>
  <si>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</si>
  <si>
    <t>All inbound and outbound connections use encrypted protocols. Backend-to-Auth0 communication (JWKS, token introspection) uses HTTPS. Backend-to-database uses TCP/IP on a private/trusted network, with TLS upgrade planned if needed.</t>
  </si>
  <si>
    <t>V12.3.2</t>
  </si>
  <si>
    <t>Verify that TLS clients validate certificates received before communicating with a TLS server.</t>
  </si>
  <si>
    <t>TLS clients (backend calling Auth0 JWKS endpoint or external services) validate server certificates before establishing connections.</t>
  </si>
  <si>
    <t>V12.3.3</t>
  </si>
  <si>
    <t>Verify that TLS or another appropriate transport encryption mechanism used for all connectivity between internal, HTTP-based services within the application, and does not fall back to insecure or unencrypted communications.</t>
  </si>
  <si>
    <t>Internal HTTP-based communication within the application is served over TLS. Backend-to-database uses TCP/IP on trusted internal network segment.</t>
  </si>
  <si>
    <t>V12.3.4</t>
  </si>
  <si>
    <t>Verify that TLS connections between internal services use trusted certificates. Where internally generated or self-signed certificates are used, the consuming service must be configured to only trust specific internal CAs and specific self-signed certificates.</t>
  </si>
  <si>
    <t>V12.3.5</t>
  </si>
  <si>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</si>
  <si>
    <t>No intra-service mesh or mTLS between microservices exists in current architecture. The system is a single backend with direct database access.</t>
  </si>
  <si>
    <t>V13.1</t>
  </si>
  <si>
    <t>Configuration Documentation</t>
  </si>
  <si>
    <t>V13.1.1</t>
  </si>
  <si>
    <t>Verify that all communication needs for the application are documented. This must include external services which the application relies upon and cases where an end user might be able to provide an external location to which the application will then connect.</t>
  </si>
  <si>
    <t>domainAnalysisAndRequirements.md (Security Requirements); architectureAndDesign.md (System Architecture);</t>
  </si>
  <si>
    <t>V13.1.2</t>
  </si>
  <si>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</si>
  <si>
    <t>V13.1.3</t>
  </si>
  <si>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</si>
  <si>
    <t>V13.1.4</t>
  </si>
  <si>
    <t>Verify that the application's documentation defines the secrets that are critical for the security of the application and a schedule for rotating them, based on the organization's threat model and business requirements.</t>
  </si>
  <si>
    <t>V13.2</t>
  </si>
  <si>
    <t>Backend Communication Configuration</t>
  </si>
  <si>
    <t>V13.2.1</t>
  </si>
  <si>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</si>
  <si>
    <t>V13.2.2</t>
  </si>
  <si>
    <t>Verify that communications between backend application components, including local or operating system services, APIs, middleware, and data layers, are performed with accounts assigned the least necessary privileges.</t>
  </si>
  <si>
    <t>V13.2.3</t>
  </si>
  <si>
    <t>Verify that if a credential has to be used for service authentication, the credential being used by the consumer is not a default credential (e.g., root/root or admin/admin).</t>
  </si>
  <si>
    <t>V13.2.4</t>
  </si>
  <si>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</si>
  <si>
    <t>V13.2.5</t>
  </si>
  <si>
    <t>Verify that the web or application server is configured with an allowlist of resources or systems to which the server can send requests or load data or files from.</t>
  </si>
  <si>
    <t>V13.2.6</t>
  </si>
  <si>
    <t>Verify that where the application connects to separate services, it follows the documented configuration for each connection, such as maximum parallel connections, behavior when maximum allowed connections is reached, connection timeouts, and retry strategies.</t>
  </si>
  <si>
    <t>V13.3</t>
  </si>
  <si>
    <t>Secret Management</t>
  </si>
  <si>
    <t>V13.3.1</t>
  </si>
  <si>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</si>
  <si>
    <t>V13.3.2</t>
  </si>
  <si>
    <t>Verify that access to secret assets adheres to the principle of least privilege.</t>
  </si>
  <si>
    <t>V13.3.3</t>
  </si>
  <si>
    <t>Verify that all cryptographic operations are performed using an isolated security module (such as a vault or hardware security module) to securely manage and protect key material from exposure outside of the security module.</t>
  </si>
  <si>
    <t>V13.3.4</t>
  </si>
  <si>
    <t>Verify that secrets are configured to expire and be rotated based on the application's documentation.</t>
  </si>
  <si>
    <t>V13.4</t>
  </si>
  <si>
    <t>Unintended Information Leakage</t>
  </si>
  <si>
    <t>V13.4.1</t>
  </si>
  <si>
    <t>Verify that the application is deployed either without any source control metadata, including the .git or .svn folders, or in a way that these folders are inaccessible both externally and to the application itself.</t>
  </si>
  <si>
    <t>V13.4.2</t>
  </si>
  <si>
    <t>Verify that debug modes are disabled for all components in production environments to prevent exposure of debugging features and information leakage.</t>
  </si>
  <si>
    <t>V13.4.3</t>
  </si>
  <si>
    <t>Verify that web servers do not expose directory listings to clients unless explicitly intended.</t>
  </si>
  <si>
    <t>V13.4.4</t>
  </si>
  <si>
    <t>Verify that using the HTTP TRACE method is not supported in production environments, to avoid potential information leakage.</t>
  </si>
  <si>
    <t>HTTP TRACE method is disabled on the application server and reverse proxy to prevent cross-site tracing (XST) attacks.</t>
  </si>
  <si>
    <t>V13.4.5</t>
  </si>
  <si>
    <t>Verify that documentation (such as for internal APIs) and monitoring endpoints are not exposed unless explicitly intended.</t>
  </si>
  <si>
    <t>Internal API documentation (e.g., Swagger/OpenAPI) and monitoring endpoints (e.g., Spring Boot Actuator) are not exposed to public access. These are either disabled in production or restricted to internal/authenticated access.</t>
  </si>
  <si>
    <t>V13.4.6</t>
  </si>
  <si>
    <t>Verify that the application does not expose detailed version information of backend components.</t>
  </si>
  <si>
    <t>V13.4.7</t>
  </si>
  <si>
    <t>Verify that the web tier is configured to only serve files with specific file extensions to prevent unintentional information, configuration, and source code leakage.</t>
  </si>
  <si>
    <t>V14.1</t>
  </si>
  <si>
    <t>Data Protection Documentation</t>
  </si>
  <si>
    <t>V14.1.1</t>
  </si>
  <si>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</si>
  <si>
    <t>Sensitive data has been identified and classified: user credentials (managed by Auth0), JWT tokens, purchase/order history, refund request details, and user roles. Protection levels consider GDPR requirements for personal data.</t>
  </si>
  <si>
    <t>V14.1.2</t>
  </si>
  <si>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</si>
  <si>
    <t>Protection requirements are documented per data type: passwords are hashed by Auth0, tokens are signed JWTs transported over HTTPS, order/refund data is stored in encrypted-at-rest database, and sensitive fields are excluded from logs.</t>
  </si>
  <si>
    <t>V14.2</t>
  </si>
  <si>
    <t>General Data Protection</t>
  </si>
  <si>
    <t>V14.2.1</t>
  </si>
  <si>
    <t>Verify that sensitive data is only sent to the server in the HTTP message body or header fields, and that the URL and query string do not contain sensitive information, such as an API key or session token.</t>
  </si>
  <si>
    <t>All sensitive data (credentials, refund details, order data) is sent in the HTTP message body or Authorization header. No sensitive information is transmitted via URL query strings.</t>
  </si>
  <si>
    <t>V14.2.2</t>
  </si>
  <si>
    <t>Verify that the application prevents sensitive data from being cached in server components, such as load balancers and application caches, or ensures that the data is securely purged after use.</t>
  </si>
  <si>
    <t>Sensitive API responses include appropriate Cache-Control headers (no-store) to prevent caching by proxies or load balancers. Static public content (movie catalog) may be cached.</t>
  </si>
  <si>
    <t>V14.2.3</t>
  </si>
  <si>
    <t>Verify that defined sensitive data is not sent to untrusted parties (e.g., user trackers) to prevent unwanted collection of data outside of the application's control.</t>
  </si>
  <si>
    <t>The application does not send sensitive user data to third-party trackers or analytics services. External integrations (Auth0) receive only the minimum data required for authentication.</t>
  </si>
  <si>
    <t>V14.2.4</t>
  </si>
  <si>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</si>
  <si>
    <t>Controls for sensitive data are implemented as documented: encryption in transit via HTTPS, integrity via signed JWTs, role-based access control on API endpoints, and sensitive fields excluded from application logs.</t>
  </si>
  <si>
    <t>V14.2.5</t>
  </si>
  <si>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</si>
  <si>
    <t>V14.2.6</t>
  </si>
  <si>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</si>
  <si>
    <t>V14.2.7</t>
  </si>
  <si>
    <t>Verify that sensitive information is subject to data retention classification, ensuring that outdated or unnecessary data is deleted automatically, on a defined schedule, or as the situation requires.</t>
  </si>
  <si>
    <t>V14.2.8</t>
  </si>
  <si>
    <t>Verify that sensitive information is removed from the metadata of user-submitted files unless storage is consented to by the user.</t>
  </si>
  <si>
    <t>V14.3</t>
  </si>
  <si>
    <t>Client-side Data Protection</t>
  </si>
  <si>
    <t>V14.3.1</t>
  </si>
  <si>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</si>
  <si>
    <t>V14.3.2</t>
  </si>
  <si>
    <t>Verify that the application sets sufficient anti-caching HTTP response header fields (i.e., Cache-Control: no-store) so that sensitive data is not cached in browsers.</t>
  </si>
  <si>
    <t>V14.3.3</t>
  </si>
  <si>
    <t>Verify that data stored in browser storage (such as localStorage, sessionStorage, IndexedDB, or cookies) does not contain sensitive data, with the exception of session tokens.</t>
  </si>
  <si>
    <t>V15.1</t>
  </si>
  <si>
    <t>Secure Coding and Architecture Documentation</t>
  </si>
  <si>
    <t>V15.1.1</t>
  </si>
  <si>
    <t>Verify that application documentation defines risk based remediation time frames for 3rd party component versions with vulnerabilities and for updating libraries in general, to minimize the risk from these components.</t>
  </si>
  <si>
    <t>The project documentation defines risk-based remediation timeframes for third-party component vulnerabilities. Critical/High severity vulnerabilities must be addressed within 7 days, Medium within 30 days, and Low within 90 days. Dependency monitoring is automated via GitHub Dependabot and OWASP Dependency-Check.</t>
  </si>
  <si>
    <t>domainAnalysisAndRequirements.md (Section 6 - Secure Development Requirements)</t>
  </si>
  <si>
    <t>V15.1.2</t>
  </si>
  <si>
    <t>Verify that an inventory catalog, such as software bill of materials (SBOM), is maintained of all third-party libraries in use, including verifying that components come from pre-defined, trusted, and continually maintained repositories.</t>
  </si>
  <si>
    <t>An SBOM (Software Bill of Materials) is maintained for all third-party libraries used by the backend. Dependencies are managed via Maven/Gradle and their versions are tracked. Dependency audit tools (Dependabot, OWASP Dependency-Check) verify that components are up to date.</t>
  </si>
  <si>
    <t>domainAnalysisAndRequirements.md (Section 6 - Secure Development Requirements) and threatModel.md</t>
  </si>
  <si>
    <t>V15.1.3</t>
  </si>
  <si>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</si>
  <si>
    <t>The documentation identifies time-consuming operations: database queries for large order histories, movie catalog search with filtering/pagination, and external Auth0 token validation. Rate limiting and query pagination are planned to prevent resource exhaustion.</t>
  </si>
  <si>
    <t>domainAnalysisAndRequirements.md (Section 5 - Non-Functional Security Requirements)</t>
  </si>
  <si>
    <t>V15.1.4</t>
  </si>
  <si>
    <t>Verify that application documentation highlights third-party libraries which are considered to be "risky components".</t>
  </si>
  <si>
    <t>V15.1.5</t>
  </si>
  <si>
    <t>Verify that application documentation highlights parts of the application where "dangerous functionality" is being used.</t>
  </si>
  <si>
    <t>V15.2</t>
  </si>
  <si>
    <t>Security Architecture and Dependencies</t>
  </si>
  <si>
    <t>V15.2.1</t>
  </si>
  <si>
    <t>Verify that the application only contains components which have not breached the documented update and remediation time frames.</t>
  </si>
  <si>
    <t>The project uses automated dependency scanning (GitHub Dependabot, OWASP Dependency-Check) in CI/CD to detect outdated or vulnerable components. Build pipelines fail if critical vulnerabilities are detected.</t>
  </si>
  <si>
    <t>V15.2.2</t>
  </si>
  <si>
    <t>Verify that the application has implemented defenses against loss of availability due to functionality which is time-consuming or resource-demanding, based on the documented security decisions and strategies for this.</t>
  </si>
  <si>
    <t>Defenses against resource exhaustion include: API rate limiting to prevent abuse, query pagination for large result sets, connection pooling for database access, and request size limits enforced at the reverse proxy and application layers.</t>
  </si>
  <si>
    <t>V15.2.3</t>
  </si>
  <si>
    <t>Verify that the production environment only includes functionality that is required for the application to function, and does not expose extraneous functionality such as test code, sample snippets, and development functionality.</t>
  </si>
  <si>
    <t>The production environment includes only components required for application functionality. Development tools, debug endpoints, test configurations, and unnecessary services are excluded from production builds. Docker images use minimal base images.</t>
  </si>
  <si>
    <t>V15.2.4</t>
  </si>
  <si>
    <t>Verify that third-party components and all of their transitive dependencies are included from the expected repository, whether internally owned or an external source, and that there is no risk of a dependency confusion attack.</t>
  </si>
  <si>
    <t>V15.2.5</t>
  </si>
  <si>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</si>
  <si>
    <t>V15.3</t>
  </si>
  <si>
    <t>Defensive Coding</t>
  </si>
  <si>
    <t>V15.3.1</t>
  </si>
  <si>
    <t>Verify that the application only returns the required subset of fields from a data object. For example, it should not return an entire data object, as some individual fields should not be accessible to users.</t>
  </si>
  <si>
    <t>The application uses DTOs (Data Transfer Objects) to return only the required subset of fields in API responses. Internal domain entities are never directly serialized to clients. Sensitive fields (e.g., internal IDs, audit metadata) are excluded from response DTOs.</t>
  </si>
  <si>
    <t>V15.3.2</t>
  </si>
  <si>
    <t>Verify that where the application backend makes calls to external URLs, it is configured to not follow redirects unless it is intended functionality.</t>
  </si>
  <si>
    <t>The backend is configured to not follow HTTP redirects when making outbound requests to external services (Auth0 JWKS endpoint). Redirect behavior is explicitly disabled or controlled.</t>
  </si>
  <si>
    <t>V15.3.3</t>
  </si>
  <si>
    <t>Verify that the application has countermeasures to protect against mass assignment attacks by limiting allowed fields per controller and action, e.g., it is not possible to insert or update a field value when it was not intended to be part of that action.</t>
  </si>
  <si>
    <t>The application protects against mass assignment attacks by using explicit DTOs for request binding. Only fields explicitly defined in the DTO are accepted; additional fields in the request body are ignored. Domain entities are never directly bound from HTTP requests.</t>
  </si>
  <si>
    <t>V15.3.4</t>
  </si>
  <si>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</si>
  <si>
    <t>When deployed behind a reverse proxy (Nginx), the backend is configured to trust only the X-Forwarded-For header from the trusted proxy. The proxy overwrites (not appends to) client-supplied forwarding headers to prevent IP spoofing.</t>
  </si>
  <si>
    <t>V15.3.5</t>
  </si>
  <si>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</si>
  <si>
    <t>The Java backend uses strong typing enforced by the compiler and framework. DTOs define explicit types for all fields, and Jackson deserialization rejects type mismatches. Strict equality comparisons are used in business logic.</t>
  </si>
  <si>
    <t>V15.3.6</t>
  </si>
  <si>
    <t>Verify that JavaScript code is written in a way that prevents prototype pollution, for example, by using Set() or Map() instead of object literals.</t>
  </si>
  <si>
    <t>The application is a Java backend and does not use JavaScript on the server side. Prototype pollution is a JavaScript-specific vulnerability and is not applicable.</t>
  </si>
  <si>
    <t>V15.3.7</t>
  </si>
  <si>
    <t>Verify that the application has defenses against HTTP parameter pollution attacks, particularly if the application framework makes no distinction about the source of request parameters (query string, body parameters, cookies, or header fields).</t>
  </si>
  <si>
    <t>The Spring Boot framework handles HTTP parameter parsing consistently. The application validates all input parameters via DTOs and does not rely on ambiguous parameter handling. Duplicate parameters are handled deterministically by the framework.</t>
  </si>
  <si>
    <t>V15.4</t>
  </si>
  <si>
    <t>Safe Concurrency</t>
  </si>
  <si>
    <t>V15.4.1</t>
  </si>
  <si>
    <t>Verify that shared objects in multi-threaded code (such as caches, files, or in-memory objects accessed by multiple threads) are accessed safely by using thread-safe types and synchronization mechanisms like locks or semaphores to avoid race conditions and data corruption.</t>
  </si>
  <si>
    <t>V15.4.2</t>
  </si>
  <si>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</si>
  <si>
    <t>V15.4.3</t>
  </si>
  <si>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</si>
  <si>
    <t>V15.4.4</t>
  </si>
  <si>
    <t>Verify that resource allocation policies prevent thread starvation by ensuring fair access to resources, such as by leveraging thread pools, allowing lower-priority threads to proceed within a reasonable timeframe.</t>
  </si>
  <si>
    <t>V16.1</t>
  </si>
  <si>
    <t>Security Logging Documentation</t>
  </si>
  <si>
    <t>V16.1.1</t>
  </si>
  <si>
    <t>Verify that an inventory exists documenting the logging performed at each layer of the application's technology stack, what events are being logged, log formats, where that logging is stored, how it is used, how access to it is controlled, and for how long logs are kept.</t>
  </si>
  <si>
    <t>The application documentation defines an inventory of security-relevant events to be logged at each layer: API layer (request/response metadata, authentication outcomes), service layer (authorization decisions, business logic events), and data layer (database access audit trails). Log destinations and retention policies are documented.</t>
  </si>
  <si>
    <t>V16.2</t>
  </si>
  <si>
    <t>General Logging</t>
  </si>
  <si>
    <t>V16.2.1</t>
  </si>
  <si>
    <t>Verify that each log entry includes necessary metadata (such as when, where, who, what) that would allow for a detailed investigation of the timeline when an event happens.</t>
  </si>
  <si>
    <t>Each log entry includes structured metadata: timestamp (UTC), source component, user identity (sub claim from JWT), action performed, resource affected, outcome (success/failure), and client IP address. This enables detailed timeline reconstruction during incident investigation.</t>
  </si>
  <si>
    <t>V16.2.2</t>
  </si>
  <si>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</si>
  <si>
    <t>All logging components use UTC timestamps with ISO 8601 format. Backend and database clocks are synchronized via NTP. This ensures log correlation across components during security event analysis.</t>
  </si>
  <si>
    <t>V16.2.3</t>
  </si>
  <si>
    <t>Verify that the application only stores or broadcasts logs to the files and services that are documented in the log inventory.</t>
  </si>
  <si>
    <t>Logs are written only to configured destinations as documented in the log inventory: application log files, database audit log table, and optionally a centralized log management service. No logs are sent to undocumented destinations.</t>
  </si>
  <si>
    <t>V16.2.4</t>
  </si>
  <si>
    <t>Verify that logs can be read and correlated by the log processor that is in use, preferably by using a common logging format.</t>
  </si>
  <si>
    <t>The application uses structured JSON logging format compatible with common log processors (ELK stack, CloudWatch, etc.). Log entries follow a consistent schema enabling automated parsing and correlation.</t>
  </si>
  <si>
    <t>V16.2.5</t>
  </si>
  <si>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</si>
  <si>
    <t>Sensitive data is excluded from logs based on the data classification defined in the documentation. JWT tokens, passwords, and personal data are never logged. Log entries reference user identity by sub claim only, not by email or name.</t>
  </si>
  <si>
    <t>V16.3</t>
  </si>
  <si>
    <t>Security Events</t>
  </si>
  <si>
    <t>V16.3.1</t>
  </si>
  <si>
    <t>Verify that all authentication operations are logged, including successful and unsuccessful attempts. Additional metadata, such as the type of authentication or factors used, should also be collected.</t>
  </si>
  <si>
    <t>All authentication events are logged: successful logins (JWT validation success), failed authentication attempts (invalid/expired tokens), and logouts. Log entries include authentication method, user identity, timestamp, and client IP.</t>
  </si>
  <si>
    <t>V16.3.2</t>
  </si>
  <si>
    <t>Verify that failed authorization attempts are logged. For L3, this must include logging all authorization decisions, including logging when sensitive data is accessed (without logging the sensitive data itself).</t>
  </si>
  <si>
    <t>Failed authorization attempts are logged: access denied by RoleGuard (insufficient role), access denied by ownership check (user attempting to access another user's resources), and access to non-existent resources. Logs include the requested resource, required role, and actual role.</t>
  </si>
  <si>
    <t>V16.3.3</t>
  </si>
  <si>
    <t>Verify that the application logs the security events that are defined in the documentation and also logs attempts to bypass the security controls, such as input validation, business logic, and anti-automation.</t>
  </si>
  <si>
    <t>Security events defined in the documentation are logged, including: security control bypass attempts (e.g., requests without Authorization header, tampered JWTs), rate limit violations, and suspicious patterns (e.g., sequential ID enumeration).</t>
  </si>
  <si>
    <t>threatModel.md</t>
  </si>
  <si>
    <t>V16.3.4</t>
  </si>
  <si>
    <t>Verify that the application logs unexpected errors and security control failures such as backend TLS failures.</t>
  </si>
  <si>
    <t>Unexpected errors and security control failures are logged: backend TLS failures when connecting to Auth0, database connection failures, JWT validation library exceptions, and unhandled application exceptions. Logs include error type and context without exposing sensitive stack traces.</t>
  </si>
  <si>
    <t>V16.4</t>
  </si>
  <si>
    <t>Log Protection</t>
  </si>
  <si>
    <t>V16.4.1</t>
  </si>
  <si>
    <t>Verify that all logging components appropriately encode data to prevent log injection.</t>
  </si>
  <si>
    <t>All logging components encode data to prevent log injection attacks. User-supplied data included in log entries is sanitized to prevent CRLF injection and log forging. Structured JSON logging inherently prevents most log injection vectors.</t>
  </si>
  <si>
    <t>V16.4.2</t>
  </si>
  <si>
    <t>Verify that logs are protected from unauthorized access and cannot be modified.</t>
  </si>
  <si>
    <t>Log files are protected with appropriate filesystem permissions: only the application service account can write logs, and only authorized administrators can read them. Log integrity is maintained by restricting write access.</t>
  </si>
  <si>
    <t>V16.4.3</t>
  </si>
  <si>
    <t>Verify that logs are securely transmitted to a logically separate system for analysis, detection, alerting, and escalation. The aim is to ensure that if the application is breached, the logs are not compromised.</t>
  </si>
  <si>
    <t>Logs are designed to be transmitted to a logically separate system (e.g., centralized log management, database audit logger) for analysis and alerting. This separation ensures that compromise of the application server does not affect log integrity.</t>
  </si>
  <si>
    <t>V16.5</t>
  </si>
  <si>
    <t>Error Handling</t>
  </si>
  <si>
    <t>V16.5.1</t>
  </si>
  <si>
    <t>Verify that a generic message is returned to the consumer when an unexpected or security-sensitive error occurs, ensuring no exposure of sensitive internal system data such as stack traces, queries, secret keys, and tokens.</t>
  </si>
  <si>
    <t>The application returns generic error messages to API consumers when unexpected or security-sensitive errors occur. Internal details (stack traces, database errors, internal paths) are never exposed in API responses. Error responses use standard HTTP status codes (400, 401, 403, 404, 500) with non-revealing messages.</t>
  </si>
  <si>
    <t>domainAnalysisAndRequirements.md (Section 4 - Functional Security Requirements)</t>
  </si>
  <si>
    <t>V16.5.2</t>
  </si>
  <si>
    <t>Verify that the application continues to operate securely when external resource access fails, for example, by using patterns such as circuit breakers or graceful degradation.</t>
  </si>
  <si>
    <t>The application handles external resource failures gracefully: Auth0 JWKS endpoint unavailability results in cached key use or deny-by-default; database connection failures trigger appropriate error responses without data corruption. Circuit breaker patterns are planned for external service calls.</t>
  </si>
  <si>
    <t>V16.5.3</t>
  </si>
  <si>
    <t>Verify that the application fails gracefully and securely, including when an exception occurs, preventing fail-open conditions such as processing a transaction despite errors resulting from validation logic.</t>
  </si>
  <si>
    <t>The application fails securely: unhandled exceptions result in deny-by-default behavior (request rejected, not authorized). No fail-open conditions exist; if JWT validation fails for any reason, access is denied. Transaction rollback ensures data consistency on failure.</t>
  </si>
  <si>
    <t>domainAnalysisAndRequirements.md (Section 4 - Functional Security Requirements) and threatModel.md</t>
  </si>
  <si>
    <t>V16.5.4</t>
  </si>
  <si>
    <t>Verify that a "last resort" error handler is defined which will catch all unhandled exceptions. This is both to avoid losing error details that must go to log files and to ensure that an error does not take down the entire application process, leading to a loss of availability.</t>
  </si>
  <si>
    <t>V17.1</t>
  </si>
  <si>
    <t>TURN Server</t>
  </si>
  <si>
    <t>V17.1.1</t>
  </si>
  <si>
    <t>Verify that the Traversal Using Relays around NAT (TURN) service only allows access to IP addresses that are not reserved for special purposes (e.g., internal networks, broadcast, loopback). Note that this applies to both IPv4 and IPv6 addresses.</t>
  </si>
  <si>
    <t>V17.1.2</t>
  </si>
  <si>
    <t>Verify that the Traversal Using Relays around NAT (TURN) service is not susceptible to resource exhaustion when legitimate users attempt to open a large number of ports on the TURN server.</t>
  </si>
  <si>
    <t>V17.2</t>
  </si>
  <si>
    <t>Media</t>
  </si>
  <si>
    <t>V17.2.1</t>
  </si>
  <si>
    <t>Verify that the key for the Datagram Transport Layer Security (DTLS) certificate is managed and protected based on the documented policy for management of cryptographic keys.</t>
  </si>
  <si>
    <t>V17.2.2</t>
  </si>
  <si>
    <t>Verify that the media server is configured to use and support approved Datagram Transport Layer Security (DTLS) cipher suites and a secure protection profile for the DTLS Extension for establishing keys for the Secure Real-time Transport Protocol (DTLS-SRTP).</t>
  </si>
  <si>
    <t>V17.2.3</t>
  </si>
  <si>
    <t>Verify that Secure Real-time Transport Protocol (SRTP) authentication is checked at the media server to prevent Real-time Transport Protocol (RTP) injection attacks from leading to either a Denial of Service condition or audio or video media insertion into media streams.</t>
  </si>
  <si>
    <t>V17.2.4</t>
  </si>
  <si>
    <t>Verify that the media server is able to continue processing incoming media traffic when encountering malformed Secure Real-time Transport Protocol (SRTP) packets.</t>
  </si>
  <si>
    <t>V17.2.5</t>
  </si>
  <si>
    <t>Verify that the media server is able to continue processing incoming media traffic during a flood of Secure Real-time Transport Protocol (SRTP) packets from legitimate users.</t>
  </si>
  <si>
    <t>V17.2.6</t>
  </si>
  <si>
    <t>Verify that the media server is not susceptible to the "ClientHello" Race Condition vulnerability in Datagram Transport Layer Security (DTLS) by checking if the media server is publicly known to be vulnerable or by performing the race condition test.</t>
  </si>
  <si>
    <t>V17.2.7</t>
  </si>
  <si>
    <t>Verify that any audio or video recording mechanisms associated with the media server are able to continue processing incoming media traffic during a flood of Secure Real-time Transport Protocol (SRTP) packets from legitimate users.</t>
  </si>
  <si>
    <t>V17.2.8</t>
  </si>
  <si>
    <t>Verify that the Datagram Transport Layer Security (DTLS) certificate is checked against the Session Description Protocol (SDP) fingerprint attribute, terminating the media stream if the check fails, to ensure the authenticity of the media stream.</t>
  </si>
  <si>
    <t>V17.3</t>
  </si>
  <si>
    <t>Signaling</t>
  </si>
  <si>
    <t>V17.3.1</t>
  </si>
  <si>
    <t>Verify that the signaling server is able to continue processing legitimate incoming signaling messages during a flood attack. This should be achieved by implementing rate limiting at the signaling level.</t>
  </si>
  <si>
    <t>V17.3.2</t>
  </si>
  <si>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</si>
  <si>
    <t>The application is implemented using Java, the language already provides automatic memory management and eliminate direct use of pointers. As a result, risks such as buffer overflows, stack overflows, and unsafe memory operations are mitigated by the runtime environment. No unmanaged code or manual memory handling is used.</t>
  </si>
  <si>
    <t>The application is implemented using Java,  the language provides automatic memory management through garbage collection, eliminating risks such as use-after-free and dangling pointers. The application does not use unmanaged code or manual memory allocation. Resource management - database connections - is handled using safe language and framework constructs, such as Java’s try-with-resources for automatic resource closure and Spring Boot’s integration with JPA/Hibernate for managed database connections and transaction handling.</t>
  </si>
  <si>
    <t>The application uses an external authentication provider (Auth0) to issue authentication cookies. According to Auth0’s security guidelines, authentication cookies are configured with the Secure attribute, ensuring they are only transmitted over HTTPS. This was verified by inspecting the Set-Cookie headers in the browser, where authentication cookies include the Secure flag. Additionally, the application enforces HTTPS for all communications, ensuring compliance with this requirement.</t>
  </si>
  <si>
    <t>Authentication cookies are managed by Auth0, which configures the SameSite attribute according to modern security standards (typically SameSite=None with Secure for cross-site authentication flows). This behavior was verified through inspection of the Set-Cookie headers in the browser. The configuration mitigates CSRF risks while maintaining compatibility with cross-origin authentication, satisfying the requirement.</t>
  </si>
  <si>
    <t>Auth0 manages cookie naming and applies secure naming conventions as defined in its platform. While cookies may not explicitly use the __Host- prefix due to cross-domain authentication requirements, they follow secure configurations such as the use of the Secure attribute and restricted scope. This is consistent with the requirement, as the __Host- prefix is only mandatory when cookies are restricted to a single host. Verification was performed by inspecting cookie names and attributes in the browser.</t>
  </si>
  <si>
    <t>Authentication cookies issued by Auth0 include the HttpOnly attribute, preventing access from client-side scripts and mitigating XSS-related risks. This was verified by inspecting the Set-Cookie headers in the browser developer tools. Additionally, sensitive tokens are only transmitted via cookies and not exposed through JavaScript-accessible storage, ensuring compliance with this requirement.</t>
  </si>
  <si>
    <t>The application does not directly create or manage authentication cookies, as these are handled by Auth0. Auth0 uses standard JWT-based tokens and cookie configurations that comply with browser limitations (maximum 4096 bytes per cookie). This is supported by Auth0 documentation and validated through inspection of cookie sizes in the browser, confirming they remain within acceptable limits.</t>
  </si>
  <si>
    <t>All HTTP responses include the X-Content-Type-Options: nosniff header, which prevents browsers from performing MIME type sniffing and enforces strict adherence to the declared Content-Type. This behavior was verified by inspecting HTTP responses using browser developer tools (Network tab), confirming the presence of the header in server responses. The application framework (e.g., Spring Boot) is configured to include this header globally, ensuring protection against content type confusion attacks and enabling browser-side protections such as Cross-Origin Read Blocking (CORB).</t>
  </si>
  <si>
    <t>The application uses Auth0 as an external Identity Provider (IdP) via OIDC. 
JWT tokens are validated in the backend, including signature, issuer, audience, and expiration.</t>
  </si>
  <si>
    <t>Document with a clear risk justification for each role.</t>
  </si>
  <si>
    <t>Define whether concurrent session limits are enforced by IdP(Identity Provider), the backend, or both.</t>
  </si>
  <si>
    <t>Our backend must always verify tokens and claims server-side.</t>
  </si>
  <si>
    <t>We depend on dynamic tokens from the IdP (Identity Provider), and we must reject static/shared credentials as user session.</t>
  </si>
  <si>
    <t>Inactivity timeout is handled by Auth0, and our backend enforces it by validating token expiration on each request</t>
  </si>
  <si>
    <t>Absolute session lifetime is configured in Auth0, and our backend enforces it by rejecting tokens whose lifetime has expired.</t>
  </si>
  <si>
    <t>We depend on Idp(Auth0) for logout policy, but backend enforces it.
logout by maintaining a per-user logout_timestamp. On each request, 
we verify that token's iat (issued-at time) is after user's last 
logout time. Tokens issued before logout are rejected.</t>
  </si>
  <si>
    <t>We should implement step-up authentication for high-risk operations using Auth0 re-authentication/MFA and enforce it in our backend by validating recent auth_time (and amr/acr when applicable).</t>
  </si>
  <si>
    <t xml:space="preserve"> The current architecture already described with AuthMiddleware, RoleGuard, controllers, and services.</t>
  </si>
  <si>
    <t>Only Auth0 access tokens are accepted for API authorization and that ID tokens are not used as API bearer tokens.</t>
  </si>
  <si>
    <t>JWTs are issued by Auth0, the backend should only validate tokens using the configured allowlisted algorithm, explicitly reject alg=none, and avoid supporting a confusing mix of symmetric and asymmetric verification modes unless there is a clear need.</t>
  </si>
  <si>
    <t>Auth0 configuration assumption plus backend aud validation.</t>
  </si>
  <si>
    <t>Document ownership rules such as “customers only access their own orders and refund requests,” not just role rules.</t>
  </si>
  <si>
    <t>Document which fields are never returned to normal users and which fields only Admin/Support may modify.</t>
  </si>
  <si>
    <t>Short-lived JWTs plus forced re-authentication or token invalidation after role/account changes.</t>
  </si>
  <si>
    <t>Tokens are sent only to the backend API (resource server). JWT access tokens are included in the Authorization header for API calls only and are not forwarded to other components.</t>
  </si>
  <si>
    <t>The backend acts as a resource server, not an OAuth client. Scope configuration is managed in Auth0 dashboard.</t>
  </si>
  <si>
    <t>No custom encryption scheme is implemented by the application.</t>
  </si>
  <si>
    <t>No direct nonce/IV management in custom encryption code.</t>
  </si>
  <si>
    <t>No custom encrypt-then-MAC construction is implemented.</t>
  </si>
  <si>
    <t>Only TLS 1.2 and TLS 1.3 are enabled for all public-facing services.</t>
  </si>
  <si>
    <t xml:space="preserve">Only recommended cipher suites are enabled, with the strongest set as preferred. </t>
  </si>
  <si>
    <t>OCSP stapling configuration is out of scope. Certificate revocation relies on default platform/CA behavior.</t>
  </si>
  <si>
    <t>The current single-backend architecture does not use inter-service TLS with internal CAs or self-signed certificates.</t>
  </si>
  <si>
    <t>Resource management strategies are defined for external systems. Database connections are managed via connection pools with timeouts. HTTP communication (e.g., Auth0 JWKS retrieval) uses short timeouts and avoids aggressive retry mechanisms. Resources are released automatically by the framework (Spring Boot, HikariCP), ensuring stability and preventing resource exhaustion.</t>
  </si>
  <si>
    <t>The application documentation defines critical secrets, including database credentials, Auth0 client secrets, and JWT signing configuration. Secrets are externally managed and are expected to follow rotation policies defined per environment and organizational requirements.</t>
  </si>
  <si>
    <t>All backend communications are authenticated. Communication with Auth0 is performed over HTTPS with token validation (JWT). Database access requires authenticated credentials. No unauthenticated service-to-service communication is permitted.</t>
  </si>
  <si>
    <t>Backend services operate using least-privilege principles. Database users have restricted permissions (only required operations). Auth0 tokens enforce scoped access. No overly privileged shared accounts are used.</t>
  </si>
  <si>
    <t>No default credentials are used. All service credentials (database, Auth0, APIs) are explicitly configured per environment using secure values provided via environment variables or secret stores.</t>
  </si>
  <si>
    <t>The application server is configured to only communicate with predefined services. Outbound requests are limited to trusted endpoints defined in configuration, preventing misuse such as SSRF attacks.</t>
  </si>
  <si>
    <t>Connections to external services follow defined configurations, including connection pooling, timeouts, and failure handling strategies. Spring Boot and HikariCP enforce these limits, ensuring predictable behavior under load.</t>
  </si>
  <si>
    <t>Secrets (database credentials, Auth0 secrets, API keys) are not stored in source code. They are managed via environment variables or secret management solutions integrated into the deployment pipeline.</t>
  </si>
  <si>
    <t>Access to secrets follows the principle of least privilege. Only backend services and deployment pipelines have access to required secrets. Developers do not have access to production credentials.</t>
  </si>
  <si>
    <t>Cryptographic operations such as JWT signing and verification rely on secure external providers (Auth0) and platform-level TLS. Sensitive key material is not exposed within the application.</t>
  </si>
  <si>
    <t>Secrets are expected to be rotated according to environment-specific policies. The architecture supports secret rotation without requiring code changes, as secrets are externally managed.</t>
  </si>
  <si>
    <t>Production deployments exclude source control metadata (.git, .svn). Docker images are built from clean artifacts, ensuring no development files are exposed.</t>
  </si>
  <si>
    <t>Debug modes and development tools are disabled in production. Spring Boot Actuator endpoints are restricted or disabled, and remote debugging is not enabled.</t>
  </si>
  <si>
    <t>The application server does not expose directory listings. Static content serving is restricted to explicitly configured paths only.</t>
  </si>
  <si>
    <t>The application minimizes exposure of version information by configuring server headers and disabling unnecessary framework disclosures where applicable.</t>
  </si>
  <si>
    <t>The web/application layer restricts served content to expected formats and endpoints. Arbitrary file access is not allowed, preventing leakage of configuration or source files.</t>
  </si>
  <si>
    <t>The current backend-only API does not serve mixed static/dynamic content vulnerable to this attack pattern.</t>
  </si>
  <si>
    <t>The application does not process payment card data; purchases exclude payment integration.</t>
  </si>
  <si>
    <t xml:space="preserve"> No automatic purge policy is implemented.</t>
  </si>
  <si>
    <t>File upload with metadata is not a feature in the current application scope.</t>
  </si>
  <si>
    <t>No frontend is developed (backend-only API). Client-side storage cleanup is not applicable without a browser client.</t>
  </si>
  <si>
    <t xml:space="preserve">No frontend is developed. </t>
  </si>
  <si>
    <t>No frontend is developed. Browser storage controls (localStorage, sessionStorage, cookies) are not applicable without a client application.</t>
  </si>
  <si>
    <t>All third-party dependencies are monitored for known vulnerabilities via automated tools.</t>
  </si>
  <si>
    <t>Security-sensitive operations (authentication, authorization, token validation) are clearly identified in the architecture documentation.</t>
  </si>
  <si>
    <t>Formal supply chain verification (signed packages, repository pinning) is out of scope. Dependencies are sourced from Maven Central / npm registry.</t>
  </si>
  <si>
    <t>Out of scope</t>
  </si>
  <si>
    <t>The application ensures safe access to shared resources by relying on thread-safe frameworks and design patterns. Spring Boot manages request handling using thread-isolated execution (one thread per request), avoiding shared mutable state at the controller level. Shared resources such as database connections are managed through thread-safe connection pools (HikariCP). Where shared in-memory data structures are used, thread-safe collections or proper synchronization mechanisms are applied.</t>
  </si>
  <si>
    <t>The application prevents time-of-check to time-of-use (TOCTOU) race conditions by enforcing atomic operations at the persistence layer. Database interactions are executed within transactional boundaries using Spring’s @Transactional support. Consistency checks (e.g., verifying ownership or resource state) and updates occur within the same transaction, ensuring that state cannot change between validation and execution.</t>
  </si>
  <si>
    <t>Concurrency control mechanisms are applied consistently using database-level locking and application-level strategies. The application relies on optimistic locking (e.g., JPA @Version) to prevent conflicting updates. Locking logic is encapsulated within the persistence and domain layers, avoiding external interference. This approach minimizes the risk of deadlocks and ensures that concurrent modifications are detected and safely handled.</t>
  </si>
  <si>
    <t>The application uses managed thread pools provided by the Spring Boot runtime and underlying servlet container. Thread allocation is controlled and prevents resource exhaustion and starvation. Database connection pools and request-processing threads are configured with limits and timeouts, ensuring fair resource allocation and preventing long-running threads from blocking system resources indefinitely.</t>
  </si>
  <si>
    <t>The application defines a centralized error handling mechanism to capture all unhandled exceptions. Spring Boot provides default global exception handling, which is extended using @ControllerAdvice to ensure consistent error responses and proper logging. This mechanism ensures that unexpected errors are caught, logged for analysis, and transformed into safe API responses without exposing internal details or affecting application availability.</t>
  </si>
  <si>
    <t>The application will use a relational database - MySQL - accessed through a Java ORM framework (JPA with Hibernate). All database interactions will be performed using ORM-managed queries or parameterized statements, ensuring that user-supplied input is not directly embedded into SQL queries. This prevents SQL injection by separating query structure from input data. Direct construction of SQL queries through string concatenation will not be permitted. Where native queries are required, parameter binding will be enforced.</t>
  </si>
  <si>
    <t>The application documentation defines all communication requirements, including interactions with external systems such as Auth0 (identity provider) and the MySQL database. No user-controlled external endpoints are allowed, preventing SSRF-style risks.</t>
  </si>
  <si>
    <t>The application uses MySQL with HikariCP connection pooling via Spring Boot. Connection pool limits (e.g., maximum pool size, connection timeout) are explicitly configured. When limits are reached, requests are queued or fail after timeout, ensuring controlled resource usage and preventing denial-of-service conditions.</t>
  </si>
  <si>
    <t>The application restricts outbound communication to a defined allowlist of trusted endpoints, including Auth0 services and the MySQL database. No dynamic or user-controlled outbound connections are allowed.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</si>
</sst>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Calibri"/>
      <family val="2"/>
      <charset val="1"/>
    </font>
    <font>
      <b/>
      <sz val="16"/>
      <color rgb="FFFFFFFF"/>
      <name val="Cambria"/>
      <charset val="1"/>
    </font>
    <font>
      <i/>
      <sz val="10"/>
      <color rgb="FF595959"/>
      <name val="Cambria"/>
      <charset val="1"/>
    </font>
    <font>
      <b/>
      <sz val="10"/>
      <name val="Cambria"/>
      <charset val="1"/>
    </font>
    <font>
      <b/>
      <sz val="9"/>
      <name val="Cambria"/>
      <charset val="1"/>
    </font>
    <font>
      <b/>
      <sz val="9"/>
      <color rgb="FFFFFFFF"/>
      <name val="Cambria"/>
      <charset val="1"/>
    </font>
    <font>
      <sz val="10"/>
      <name val="Cambria"/>
      <charset val="1"/>
    </font>
    <font>
      <b/>
      <sz val="11"/>
      <color rgb="FFFFFFFF"/>
      <name val="Cambria"/>
      <charset val="1"/>
    </font>
    <font>
      <b/>
      <sz val="10"/>
      <color rgb="FFFFFFFF"/>
      <name val="Cambria"/>
      <charset val="1"/>
    </font>
    <font>
      <b/>
      <sz val="10"/>
      <color rgb="FF1F3864"/>
      <name val="Cambria"/>
      <charset val="1"/>
    </font>
    <font>
      <u/>
      <sz val="11"/>
      <color theme="10"/>
      <name val="Calibri"/>
      <family val="2"/>
      <charset val="1"/>
    </font>
  </fonts>
  <fills count="11">
    <fill>
      <patternFill patternType="none"/>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
      <patternFill patternType="solid">
        <fgColor rgb="FFF7FBFF"/>
        <bgColor rgb="FFF7FB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0" fillId="0" borderId="0"/>
  </cellStyleXfs>
  <cellXfs count="34">
    <xf numFmtId="0" fontId="0" fillId="0" borderId="0" xfId="0"/>
    <xf numFmtId="0" fontId="4" fillId="0" borderId="0" xfId="0" applyFont="1" applyAlignment="1">
      <alignment horizontal="center" vertical="center"/>
    </xf>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center"/>
    </xf>
    <xf numFmtId="0" fontId="6" fillId="3" borderId="1" xfId="0" applyFont="1" applyFill="1" applyBorder="1" applyAlignment="1">
      <alignment horizontal="center" vertical="center"/>
    </xf>
    <xf numFmtId="9" fontId="6" fillId="3" borderId="1" xfId="0" applyNumberFormat="1" applyFont="1" applyFill="1" applyBorder="1" applyAlignment="1">
      <alignment horizontal="center" vertical="center"/>
    </xf>
    <xf numFmtId="0" fontId="6" fillId="4" borderId="1" xfId="0" applyFont="1" applyFill="1" applyBorder="1" applyAlignment="1">
      <alignment horizontal="left" vertical="center"/>
    </xf>
    <xf numFmtId="0" fontId="6" fillId="4" borderId="1" xfId="0" applyFont="1" applyFill="1" applyBorder="1" applyAlignment="1">
      <alignment horizontal="center" vertical="center"/>
    </xf>
    <xf numFmtId="9" fontId="6" fillId="4" borderId="1" xfId="0" applyNumberFormat="1" applyFont="1" applyFill="1" applyBorder="1" applyAlignment="1">
      <alignment horizontal="center" vertical="center"/>
    </xf>
    <xf numFmtId="0" fontId="7" fillId="2" borderId="1" xfId="0" applyFont="1" applyFill="1" applyBorder="1"/>
    <xf numFmtId="0" fontId="8" fillId="2" borderId="1" xfId="0" applyFont="1" applyFill="1" applyBorder="1" applyAlignment="1">
      <alignment horizontal="center" vertical="center"/>
    </xf>
    <xf numFmtId="9" fontId="8" fillId="2" borderId="1" xfId="0" applyNumberFormat="1" applyFont="1" applyFill="1" applyBorder="1" applyAlignment="1">
      <alignment horizontal="center" vertical="center"/>
    </xf>
    <xf numFmtId="0" fontId="8" fillId="2" borderId="1" xfId="0" applyFont="1" applyFill="1" applyBorder="1" applyAlignment="1">
      <alignment horizontal="center" vertical="center" wrapText="1"/>
    </xf>
    <xf numFmtId="0" fontId="9" fillId="5" borderId="1" xfId="0" applyFont="1" applyFill="1" applyBorder="1" applyAlignment="1">
      <alignment horizontal="left" vertical="center"/>
    </xf>
    <xf numFmtId="0" fontId="0" fillId="3" borderId="1" xfId="0" applyFill="1" applyBorder="1"/>
    <xf numFmtId="0" fontId="0" fillId="3" borderId="1" xfId="0" applyFill="1" applyBorder="1" applyAlignment="1">
      <alignment horizontal="center" vertical="top"/>
    </xf>
    <xf numFmtId="0" fontId="0" fillId="3" borderId="1" xfId="0" applyFill="1" applyBorder="1" applyAlignment="1">
      <alignment horizontal="left" vertical="top" wrapText="1"/>
    </xf>
    <xf numFmtId="0" fontId="3" fillId="6" borderId="1" xfId="0" applyFont="1" applyFill="1" applyBorder="1" applyAlignment="1">
      <alignment horizontal="center" vertical="top"/>
    </xf>
    <xf numFmtId="0" fontId="0" fillId="7" borderId="1" xfId="0" applyFill="1" applyBorder="1" applyAlignment="1">
      <alignment horizontal="center" vertical="top"/>
    </xf>
    <xf numFmtId="0" fontId="0" fillId="4" borderId="1" xfId="0" applyFill="1" applyBorder="1"/>
    <xf numFmtId="0" fontId="0" fillId="4" borderId="1" xfId="0" applyFill="1" applyBorder="1" applyAlignment="1">
      <alignment horizontal="center" vertical="top"/>
    </xf>
    <xf numFmtId="0" fontId="0" fillId="4" borderId="1" xfId="0" applyFill="1" applyBorder="1" applyAlignment="1">
      <alignment horizontal="left" vertical="top" wrapText="1"/>
    </xf>
    <xf numFmtId="0" fontId="3" fillId="8" borderId="1" xfId="0" applyFont="1" applyFill="1" applyBorder="1" applyAlignment="1">
      <alignment horizontal="center" vertical="top"/>
    </xf>
    <xf numFmtId="0" fontId="3" fillId="9" borderId="1" xfId="0" applyFont="1" applyFill="1" applyBorder="1" applyAlignment="1">
      <alignment horizontal="center" vertical="top"/>
    </xf>
    <xf numFmtId="0" fontId="10" fillId="4" borderId="1" xfId="1" applyFill="1" applyBorder="1" applyAlignment="1">
      <alignment horizontal="left" vertical="top" wrapText="1"/>
    </xf>
    <xf numFmtId="0" fontId="0" fillId="0" borderId="0" xfId="0" applyAlignment="1">
      <alignment horizontal="left" vertical="top" wrapText="1"/>
    </xf>
    <xf numFmtId="0" fontId="10" fillId="3" borderId="1" xfId="1" applyFill="1" applyBorder="1" applyAlignment="1">
      <alignment horizontal="left" vertical="top" wrapText="1"/>
    </xf>
    <xf numFmtId="0" fontId="0" fillId="10" borderId="1" xfId="0" applyFill="1" applyBorder="1" applyAlignment="1">
      <alignment horizontal="left" vertical="top" wrapText="1"/>
    </xf>
    <xf numFmtId="0" fontId="10" fillId="0" borderId="0" xfId="1"/>
    <xf numFmtId="0" fontId="10" fillId="0" borderId="0" xfId="1" applyAlignment="1">
      <alignment horizontal="left" vertical="top" wrapText="1"/>
    </xf>
    <xf numFmtId="0" fontId="1" fillId="2" borderId="0" xfId="0" applyFont="1" applyFill="1" applyAlignment="1">
      <alignment horizontal="center" vertical="center"/>
    </xf>
    <xf numFmtId="0" fontId="0" fillId="0" borderId="0" xfId="0"/>
    <xf numFmtId="0" fontId="3" fillId="0" borderId="0" xfId="0" applyFont="1"/>
    <xf numFmtId="0" fontId="2" fillId="0" borderId="0" xfId="0" applyFont="1" applyAlignment="1">
      <alignment horizontal="center" vertical="center"/>
    </xf>
  </cellXfs>
  <cellStyles count="2">
    <cellStyle name="Hiperligação"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1"/>
  <c:style val="2"/>
  <c:chart>
    <c:autoTitleDeleted val="1"/>
    <c:plotArea>
      <c:layout/>
      <c:barChart>
        <c:barDir val="bar"/>
        <c:grouping val="clustered"/>
        <c:varyColors val="0"/>
        <c:ser>
          <c:idx val="0"/>
          <c:order val="0"/>
          <c:tx>
            <c:strRef>
              <c:f>Summary!$E$5</c:f>
              <c:strCache>
                <c:ptCount val="1"/>
                <c:pt idx="0">
                  <c:v>L1
%</c:v>
                </c:pt>
              </c:strCache>
            </c:strRef>
          </c:tx>
          <c:spPr>
            <a:solidFill>
              <a:srgbClr val="C6EFCE"/>
            </a:solidFill>
            <a:ln>
              <a:noFill/>
              <a:prstDash val="solid"/>
            </a:ln>
          </c:spPr>
          <c:invertIfNegative val="0"/>
          <c:dLbls>
            <c:spPr>
              <a:noFill/>
              <a:ln>
                <a:noFill/>
                <a:prstDash val="solid"/>
              </a:ln>
            </c:spPr>
            <c:txPr>
              <a:bodyPr/>
              <a:lstStyle/>
              <a:p>
                <a:pPr>
                  <a:defRPr sz="1000" b="0" strike="noStrike" spc="-1">
                    <a:latin typeface="Arial"/>
                  </a:defRPr>
                </a:pPr>
                <a:endParaRPr lang="pt-PT"/>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Summary!$E$6:$E$22</c:f>
              <c:numCache>
                <c:formatCode>0%</c:formatCode>
                <c:ptCount val="17"/>
                <c:pt idx="0">
                  <c:v>0.75</c:v>
                </c:pt>
                <c:pt idx="1">
                  <c:v>1</c:v>
                </c:pt>
                <c:pt idx="2">
                  <c:v>0.625</c:v>
                </c:pt>
                <c:pt idx="3">
                  <c:v>0.5</c:v>
                </c:pt>
                <c:pt idx="4">
                  <c:v>0.25</c:v>
                </c:pt>
                <c:pt idx="5">
                  <c:v>0.84615384615384615</c:v>
                </c:pt>
                <c:pt idx="6">
                  <c:v>0.66666666666666663</c:v>
                </c:pt>
                <c:pt idx="7">
                  <c:v>1</c:v>
                </c:pt>
                <c:pt idx="8">
                  <c:v>1</c:v>
                </c:pt>
                <c:pt idx="9">
                  <c:v>1</c:v>
                </c:pt>
                <c:pt idx="10">
                  <c:v>0.33333333333333331</c:v>
                </c:pt>
                <c:pt idx="11">
                  <c:v>1</c:v>
                </c:pt>
                <c:pt idx="12">
                  <c:v>1</c:v>
                </c:pt>
                <c:pt idx="13">
                  <c:v>0.5</c:v>
                </c:pt>
                <c:pt idx="14">
                  <c:v>1</c:v>
                </c:pt>
                <c:pt idx="15" formatCode="General">
                  <c:v>0</c:v>
                </c:pt>
                <c:pt idx="16" formatCode="General">
                  <c:v>0</c:v>
                </c:pt>
              </c:numCache>
            </c:numRef>
          </c:val>
          <c:extLst>
            <c:ext xmlns:c16="http://schemas.microsoft.com/office/drawing/2014/chart" uri="{C3380CC4-5D6E-409C-BE32-E72D297353CC}">
              <c16:uniqueId val="{00000000-9627-4582-ABA8-23A9BA755226}"/>
            </c:ext>
          </c:extLst>
        </c:ser>
        <c:ser>
          <c:idx val="1"/>
          <c:order val="1"/>
          <c:tx>
            <c:strRef>
              <c:f>Summary!$H$5</c:f>
              <c:strCache>
                <c:ptCount val="1"/>
                <c:pt idx="0">
                  <c:v>L2
%</c:v>
                </c:pt>
              </c:strCache>
            </c:strRef>
          </c:tx>
          <c:spPr>
            <a:solidFill>
              <a:srgbClr val="FFEB9C"/>
            </a:solidFill>
            <a:ln>
              <a:noFill/>
              <a:prstDash val="solid"/>
            </a:ln>
          </c:spPr>
          <c:invertIfNegative val="0"/>
          <c:dLbls>
            <c:spPr>
              <a:noFill/>
              <a:ln>
                <a:noFill/>
                <a:prstDash val="solid"/>
              </a:ln>
            </c:spPr>
            <c:txPr>
              <a:bodyPr/>
              <a:lstStyle/>
              <a:p>
                <a:pPr>
                  <a:defRPr sz="1000" b="0" strike="noStrike" spc="-1">
                    <a:latin typeface="Arial"/>
                  </a:defRPr>
                </a:pPr>
                <a:endParaRPr lang="pt-PT"/>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Summary!$H$6:$H$22</c:f>
              <c:numCache>
                <c:formatCode>0%</c:formatCode>
                <c:ptCount val="17"/>
                <c:pt idx="0">
                  <c:v>0.42105263157894735</c:v>
                </c:pt>
                <c:pt idx="1">
                  <c:v>1</c:v>
                </c:pt>
                <c:pt idx="2">
                  <c:v>0.54545454545454541</c:v>
                </c:pt>
                <c:pt idx="3">
                  <c:v>0.375</c:v>
                </c:pt>
                <c:pt idx="4">
                  <c:v>0</c:v>
                </c:pt>
                <c:pt idx="5">
                  <c:v>0.36363636363636365</c:v>
                </c:pt>
                <c:pt idx="6">
                  <c:v>0.58333333333333337</c:v>
                </c:pt>
                <c:pt idx="7">
                  <c:v>0.66666666666666663</c:v>
                </c:pt>
                <c:pt idx="8">
                  <c:v>1</c:v>
                </c:pt>
                <c:pt idx="9">
                  <c:v>0.625</c:v>
                </c:pt>
                <c:pt idx="10">
                  <c:v>0.81818181818181823</c:v>
                </c:pt>
                <c:pt idx="11">
                  <c:v>0.66666666666666663</c:v>
                </c:pt>
                <c:pt idx="12">
                  <c:v>1</c:v>
                </c:pt>
                <c:pt idx="13">
                  <c:v>0.7142857142857143</c:v>
                </c:pt>
                <c:pt idx="14">
                  <c:v>0.9</c:v>
                </c:pt>
                <c:pt idx="15">
                  <c:v>1</c:v>
                </c:pt>
                <c:pt idx="16">
                  <c:v>0</c:v>
                </c:pt>
              </c:numCache>
            </c:numRef>
          </c:val>
          <c:extLst>
            <c:ext xmlns:c16="http://schemas.microsoft.com/office/drawing/2014/chart" uri="{C3380CC4-5D6E-409C-BE32-E72D297353CC}">
              <c16:uniqueId val="{00000001-9627-4582-ABA8-23A9BA755226}"/>
            </c:ext>
          </c:extLst>
        </c:ser>
        <c:ser>
          <c:idx val="2"/>
          <c:order val="2"/>
          <c:tx>
            <c:strRef>
              <c:f>Summary!$K$5</c:f>
              <c:strCache>
                <c:ptCount val="1"/>
                <c:pt idx="0">
                  <c:v>L3
%</c:v>
                </c:pt>
              </c:strCache>
            </c:strRef>
          </c:tx>
          <c:spPr>
            <a:solidFill>
              <a:srgbClr val="FABF8F"/>
            </a:solidFill>
            <a:ln>
              <a:noFill/>
              <a:prstDash val="solid"/>
            </a:ln>
          </c:spPr>
          <c:invertIfNegative val="0"/>
          <c:dLbls>
            <c:spPr>
              <a:noFill/>
              <a:ln>
                <a:noFill/>
                <a:prstDash val="solid"/>
              </a:ln>
            </c:spPr>
            <c:txPr>
              <a:bodyPr/>
              <a:lstStyle/>
              <a:p>
                <a:pPr>
                  <a:defRPr sz="1000" b="0" strike="noStrike" spc="-1">
                    <a:latin typeface="Arial"/>
                  </a:defRPr>
                </a:pPr>
                <a:endParaRPr lang="pt-PT"/>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Summary!$K$6:$K$21</c:f>
              <c:numCache>
                <c:formatCode>0%</c:formatCode>
                <c:ptCount val="16"/>
                <c:pt idx="0">
                  <c:v>0.66666666666666663</c:v>
                </c:pt>
                <c:pt idx="1">
                  <c:v>0.5</c:v>
                </c:pt>
                <c:pt idx="2">
                  <c:v>8.3333333333333329E-2</c:v>
                </c:pt>
                <c:pt idx="3">
                  <c:v>0.83333333333333337</c:v>
                </c:pt>
                <c:pt idx="4">
                  <c:v>0</c:v>
                </c:pt>
                <c:pt idx="5">
                  <c:v>0.25</c:v>
                </c:pt>
                <c:pt idx="6">
                  <c:v>1</c:v>
                </c:pt>
                <c:pt idx="7">
                  <c:v>0.16666666666666666</c:v>
                </c:pt>
                <c:pt idx="8" formatCode="General">
                  <c:v>0</c:v>
                </c:pt>
                <c:pt idx="9">
                  <c:v>0</c:v>
                </c:pt>
                <c:pt idx="10">
                  <c:v>0.3</c:v>
                </c:pt>
                <c:pt idx="11">
                  <c:v>0</c:v>
                </c:pt>
                <c:pt idx="12">
                  <c:v>1</c:v>
                </c:pt>
                <c:pt idx="13">
                  <c:v>0</c:v>
                </c:pt>
                <c:pt idx="14">
                  <c:v>0.5</c:v>
                </c:pt>
                <c:pt idx="15">
                  <c:v>1</c:v>
                </c:pt>
              </c:numCache>
            </c:numRef>
          </c:val>
          <c:extLst>
            <c:ext xmlns:c16="http://schemas.microsoft.com/office/drawing/2014/chart" uri="{C3380CC4-5D6E-409C-BE32-E72D297353CC}">
              <c16:uniqueId val="{00000002-9627-4582-ABA8-23A9BA755226}"/>
            </c:ext>
          </c:extLst>
        </c:ser>
        <c:ser>
          <c:idx val="3"/>
          <c:order val="3"/>
          <c:tx>
            <c:strRef>
              <c:f>Summary!$M$5</c:f>
              <c:strCache>
                <c:ptCount val="1"/>
                <c:pt idx="0">
                  <c:v>Overall
%</c:v>
                </c:pt>
              </c:strCache>
            </c:strRef>
          </c:tx>
          <c:spPr>
            <a:solidFill>
              <a:srgbClr val="579D1C"/>
            </a:solidFill>
            <a:ln>
              <a:noFill/>
              <a:prstDash val="solid"/>
            </a:ln>
          </c:spPr>
          <c:invertIfNegative val="0"/>
          <c:dLbls>
            <c:spPr>
              <a:noFill/>
              <a:ln>
                <a:noFill/>
                <a:prstDash val="solid"/>
              </a:ln>
            </c:spPr>
            <c:txPr>
              <a:bodyPr/>
              <a:lstStyle/>
              <a:p>
                <a:pPr>
                  <a:defRPr sz="1000" b="0" strike="noStrike" spc="-1">
                    <a:latin typeface="Arial"/>
                  </a:defRPr>
                </a:pPr>
                <a:endParaRPr lang="pt-PT"/>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Summary!$M$6:$M$22</c:f>
              <c:numCache>
                <c:formatCode>0%</c:formatCode>
                <c:ptCount val="17"/>
                <c:pt idx="0">
                  <c:v>0.53333333333333333</c:v>
                </c:pt>
                <c:pt idx="1">
                  <c:v>0.92307692307692313</c:v>
                </c:pt>
                <c:pt idx="2">
                  <c:v>0.38709677419354838</c:v>
                </c:pt>
                <c:pt idx="3">
                  <c:v>0.5625</c:v>
                </c:pt>
                <c:pt idx="4">
                  <c:v>7.6923076923076927E-2</c:v>
                </c:pt>
                <c:pt idx="5">
                  <c:v>0.46808510638297873</c:v>
                </c:pt>
                <c:pt idx="6">
                  <c:v>0.63157894736842102</c:v>
                </c:pt>
                <c:pt idx="7">
                  <c:v>0.53846153846153844</c:v>
                </c:pt>
                <c:pt idx="8">
                  <c:v>1</c:v>
                </c:pt>
                <c:pt idx="9">
                  <c:v>0.55555555555555558</c:v>
                </c:pt>
                <c:pt idx="10">
                  <c:v>0.54166666666666663</c:v>
                </c:pt>
                <c:pt idx="11">
                  <c:v>0.58333333333333337</c:v>
                </c:pt>
                <c:pt idx="12">
                  <c:v>1</c:v>
                </c:pt>
                <c:pt idx="13">
                  <c:v>0.46153846153846156</c:v>
                </c:pt>
                <c:pt idx="14">
                  <c:v>0.76190476190476186</c:v>
                </c:pt>
                <c:pt idx="15">
                  <c:v>1</c:v>
                </c:pt>
                <c:pt idx="16">
                  <c:v>0</c:v>
                </c:pt>
              </c:numCache>
            </c:numRef>
          </c:val>
          <c:extLst>
            <c:ext xmlns:c16="http://schemas.microsoft.com/office/drawing/2014/chart" uri="{C3380CC4-5D6E-409C-BE32-E72D297353CC}">
              <c16:uniqueId val="{00000003-9627-4582-ABA8-23A9BA755226}"/>
            </c:ext>
          </c:extLst>
        </c:ser>
        <c:dLbls>
          <c:showLegendKey val="0"/>
          <c:showVal val="0"/>
          <c:showCatName val="0"/>
          <c:showSerName val="0"/>
          <c:showPercent val="0"/>
          <c:showBubbleSize val="0"/>
        </c:dLbls>
        <c:gapWidth val="100"/>
        <c:axId val="28005530"/>
        <c:axId val="73737639"/>
      </c:barChart>
      <c:catAx>
        <c:axId val="28005530"/>
        <c:scaling>
          <c:orientation val="minMax"/>
        </c:scaling>
        <c:delete val="0"/>
        <c:axPos val="l"/>
        <c:numFmt formatCode="General" sourceLinked="1"/>
        <c:majorTickMark val="out"/>
        <c:minorTickMark val="none"/>
        <c:tickLblPos val="nextTo"/>
        <c:spPr>
          <a:ln>
            <a:solidFill>
              <a:srgbClr val="B3B3B3"/>
            </a:solidFill>
            <a:prstDash val="solid"/>
          </a:ln>
        </c:spPr>
        <c:txPr>
          <a:bodyPr/>
          <a:lstStyle/>
          <a:p>
            <a:pPr>
              <a:defRPr sz="1000" b="0" strike="noStrike" spc="-1">
                <a:latin typeface="Arial"/>
              </a:defRPr>
            </a:pPr>
            <a:endParaRPr lang="pt-PT"/>
          </a:p>
        </c:txPr>
        <c:crossAx val="73737639"/>
        <c:crosses val="autoZero"/>
        <c:auto val="1"/>
        <c:lblAlgn val="ctr"/>
        <c:lblOffset val="100"/>
        <c:noMultiLvlLbl val="0"/>
      </c:catAx>
      <c:valAx>
        <c:axId val="73737639"/>
        <c:scaling>
          <c:orientation val="minMax"/>
        </c:scaling>
        <c:delete val="0"/>
        <c:axPos val="b"/>
        <c:majorGridlines>
          <c:spPr>
            <a:ln>
              <a:solidFill>
                <a:srgbClr val="B3B3B3"/>
              </a:solidFill>
              <a:prstDash val="solid"/>
            </a:ln>
          </c:spPr>
        </c:majorGridlines>
        <c:numFmt formatCode="0%" sourceLinked="0"/>
        <c:majorTickMark val="out"/>
        <c:minorTickMark val="none"/>
        <c:tickLblPos val="nextTo"/>
        <c:spPr>
          <a:ln>
            <a:solidFill>
              <a:srgbClr val="B3B3B3"/>
            </a:solidFill>
            <a:prstDash val="solid"/>
          </a:ln>
        </c:spPr>
        <c:txPr>
          <a:bodyPr/>
          <a:lstStyle/>
          <a:p>
            <a:pPr>
              <a:defRPr sz="1000" b="0" strike="noStrike" spc="-1">
                <a:latin typeface="Arial"/>
              </a:defRPr>
            </a:pPr>
            <a:endParaRPr lang="pt-PT"/>
          </a:p>
        </c:txPr>
        <c:crossAx val="28005530"/>
        <c:crosses val="autoZero"/>
        <c:crossBetween val="between"/>
      </c:valAx>
    </c:plotArea>
    <c:legend>
      <c:legendPos val="r"/>
      <c:overlay val="0"/>
      <c:spPr>
        <a:noFill/>
        <a:ln>
          <a:noFill/>
          <a:prstDash val="solid"/>
        </a:ln>
      </c:spPr>
      <c:txPr>
        <a:bodyPr/>
        <a:lstStyle/>
        <a:p>
          <a:pPr>
            <a:defRPr sz="1000" b="0" strike="noStrike" spc="-1">
              <a:latin typeface="Arial"/>
            </a:defRPr>
          </a:pPr>
          <a:endParaRPr lang="pt-PT"/>
        </a:p>
      </c:txPr>
    </c:legend>
    <c:plotVisOnly val="1"/>
    <c:dispBlanksAs val="gap"/>
    <c:showDLblsOverMax val="1"/>
  </c:chart>
  <c:spPr>
    <a:solidFill>
      <a:srgbClr val="FFFFFF"/>
    </a:solidFill>
    <a:ln w="9360">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38880</xdr:colOff>
      <xdr:row>24</xdr:row>
      <xdr:rowOff>10440</xdr:rowOff>
    </xdr:from>
    <xdr:to>
      <xdr:col>12</xdr:col>
      <xdr:colOff>745125</xdr:colOff>
      <xdr:row>47</xdr:row>
      <xdr:rowOff>56880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www.baeldung.com/jackson-vs-gson"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auth0.com/docs/manage-users/cookies" TargetMode="External"/><Relationship Id="rId2" Type="http://schemas.openxmlformats.org/officeDocument/2006/relationships/hyperlink" Target="https://auth0.com/docs/manage-users/cookies/samesite-cookie-attribute-changes" TargetMode="External"/><Relationship Id="rId1" Type="http://schemas.openxmlformats.org/officeDocument/2006/relationships/hyperlink" Target="https://auth0.com/docs/secure/security-guidance/data-security/token-storage" TargetMode="External"/><Relationship Id="rId5" Type="http://schemas.openxmlformats.org/officeDocument/2006/relationships/hyperlink" Target="https://auth0.com/docs/secure/tokens/json-web-tokens/json-web-token-structure" TargetMode="External"/><Relationship Id="rId4" Type="http://schemas.openxmlformats.org/officeDocument/2006/relationships/hyperlink" Target="https://auth0.com/docs/secure/security-guidance/data-security/token-storage"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auth0.com/docs/secure/tokens/json-web-tokens/validate-json-web-tokens" TargetMode="External"/><Relationship Id="rId3" Type="http://schemas.openxmlformats.org/officeDocument/2006/relationships/hyperlink" Target="https://auth0.com/docs/authenticate/database-connections/password-options" TargetMode="External"/><Relationship Id="rId7" Type="http://schemas.openxmlformats.org/officeDocument/2006/relationships/hyperlink" Target="https://auth0.com/docs/secure/tokens/json-web-tokens/json-web-key-sets" TargetMode="External"/><Relationship Id="rId2" Type="http://schemas.openxmlformats.org/officeDocument/2006/relationships/hyperlink" Target="https://auth0.com/docs/get-started/authentication-and-authorization-flow" TargetMode="External"/><Relationship Id="rId1" Type="http://schemas.openxmlformats.org/officeDocument/2006/relationships/hyperlink" Target="https://auth0.com/docs/secure/attack-protection" TargetMode="External"/><Relationship Id="rId6" Type="http://schemas.openxmlformats.org/officeDocument/2006/relationships/hyperlink" Target="http://auth0.com/docs/authenticate" TargetMode="External"/><Relationship Id="rId5" Type="http://schemas.openxmlformats.org/officeDocument/2006/relationships/hyperlink" Target="https://auth0.com/docs/get-started/authentication-and-authorization-flow" TargetMode="External"/><Relationship Id="rId4" Type="http://schemas.openxmlformats.org/officeDocument/2006/relationships/hyperlink" Target="https://auth0.com/docs/secure/attack-protection"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auth0.com/docs/secure/tokens/refresh-tokens/revoke-refresh-tokens" TargetMode="External"/><Relationship Id="rId13" Type="http://schemas.openxmlformats.org/officeDocument/2006/relationships/hyperlink" Target="https://auth0.com/docs/get-started/apis/scopes" TargetMode="External"/><Relationship Id="rId3" Type="http://schemas.openxmlformats.org/officeDocument/2006/relationships/hyperlink" Target="https://auth0.com/docs/get-started/authentication-and-authorization-flow/authorization-code-flow" TargetMode="External"/><Relationship Id="rId7" Type="http://schemas.openxmlformats.org/officeDocument/2006/relationships/hyperlink" Target="https://auth0.com/docs/secure/tokens/refresh-tokens/configure-refresh-token-expiration" TargetMode="External"/><Relationship Id="rId12" Type="http://schemas.openxmlformats.org/officeDocument/2006/relationships/hyperlink" Target="https://auth0.com/docs/authenticate/login/logout" TargetMode="External"/><Relationship Id="rId2" Type="http://schemas.openxmlformats.org/officeDocument/2006/relationships/hyperlink" Target="https://auth0.com/docs/get-started/authentication-and-authorization-flow/authorization-code-flow" TargetMode="External"/><Relationship Id="rId1" Type="http://schemas.openxmlformats.org/officeDocument/2006/relationships/hyperlink" Target="https://auth0.com/docs/authenticate/login/redirect-users-after-login" TargetMode="External"/><Relationship Id="rId6" Type="http://schemas.openxmlformats.org/officeDocument/2006/relationships/hyperlink" Target="https://auth0.com/docs/get-started/authentication-and-authorization-flow/authorization-code-flow-with-pkce" TargetMode="External"/><Relationship Id="rId11" Type="http://schemas.openxmlformats.org/officeDocument/2006/relationships/hyperlink" Target="https://auth0.com/docs/get-started/authentication-and-authorization-flow" TargetMode="External"/><Relationship Id="rId5" Type="http://schemas.openxmlformats.org/officeDocument/2006/relationships/hyperlink" Target="https://auth0.com/docs/secure/tokens/refresh-tokens/refresh-token-rotation" TargetMode="External"/><Relationship Id="rId10" Type="http://schemas.openxmlformats.org/officeDocument/2006/relationships/hyperlink" Target="https://auth0.com/docs/get-started/apis/scopes" TargetMode="External"/><Relationship Id="rId4" Type="http://schemas.openxmlformats.org/officeDocument/2006/relationships/hyperlink" Target="https://auth0.com/docs/get-started/authentication-and-authorization-flow" TargetMode="External"/><Relationship Id="rId9" Type="http://schemas.openxmlformats.org/officeDocument/2006/relationships/hyperlink" Target="https://auth0.com/docs/get-started/authentication-and-authorization-flow/client-credentials-flow" TargetMode="External"/><Relationship Id="rId14" Type="http://schemas.openxmlformats.org/officeDocument/2006/relationships/hyperlink" Target="https://auth0.com/docs/get-started/apis/scop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
  <sheetViews>
    <sheetView showGridLines="0" topLeftCell="A19" zoomScale="90" zoomScaleNormal="75" workbookViewId="0">
      <selection activeCell="E4" sqref="E4"/>
    </sheetView>
  </sheetViews>
  <sheetFormatPr defaultColWidth="8.5546875" defaultRowHeight="14.4" x14ac:dyDescent="0.3"/>
  <cols>
    <col min="1" max="1" width="34" customWidth="1"/>
    <col min="2" max="13" width="11" customWidth="1"/>
  </cols>
  <sheetData>
    <row r="1" spans="1:16" ht="36" customHeight="1" x14ac:dyDescent="0.3">
      <c r="A1" s="30" t="s">
        <v>0</v>
      </c>
      <c r="B1" s="31"/>
      <c r="C1" s="31"/>
      <c r="D1" s="31"/>
      <c r="E1" s="31"/>
      <c r="F1" s="31"/>
      <c r="G1" s="31"/>
      <c r="H1" s="31"/>
      <c r="I1" s="31"/>
      <c r="J1" s="31"/>
      <c r="K1" s="31"/>
      <c r="L1" s="31"/>
      <c r="M1" s="31"/>
      <c r="N1" s="31"/>
      <c r="O1" s="31"/>
      <c r="P1" s="31"/>
    </row>
    <row r="2" spans="1:16" ht="19.95" customHeight="1" x14ac:dyDescent="0.3">
      <c r="A2" s="33"/>
      <c r="B2" s="31"/>
      <c r="C2" s="31"/>
      <c r="D2" s="31"/>
      <c r="E2" s="31"/>
      <c r="F2" s="31"/>
      <c r="G2" s="31"/>
      <c r="H2" s="31"/>
      <c r="I2" s="31"/>
      <c r="J2" s="31"/>
      <c r="K2" s="31"/>
      <c r="L2" s="31"/>
      <c r="M2" s="31"/>
      <c r="N2" s="31"/>
      <c r="O2" s="31"/>
      <c r="P2" s="31"/>
    </row>
    <row r="3" spans="1:16" ht="18" customHeight="1" x14ac:dyDescent="0.3">
      <c r="A3" s="32"/>
      <c r="B3" s="31"/>
      <c r="C3" s="1"/>
      <c r="E3" s="1"/>
      <c r="G3" s="1"/>
      <c r="I3" s="1"/>
      <c r="K3" s="1"/>
      <c r="M3" s="1"/>
      <c r="O3" s="1"/>
    </row>
    <row r="5" spans="1:16" ht="31.95" customHeight="1" x14ac:dyDescent="0.3">
      <c r="A5" s="2" t="s">
        <v>1</v>
      </c>
      <c r="B5" s="2" t="s">
        <v>2</v>
      </c>
      <c r="C5" s="2" t="s">
        <v>3</v>
      </c>
      <c r="D5" s="2" t="s">
        <v>4</v>
      </c>
      <c r="E5" s="2" t="s">
        <v>5</v>
      </c>
      <c r="F5" s="2" t="s">
        <v>6</v>
      </c>
      <c r="G5" s="2" t="s">
        <v>7</v>
      </c>
      <c r="H5" s="2" t="s">
        <v>8</v>
      </c>
      <c r="I5" s="2" t="s">
        <v>9</v>
      </c>
      <c r="J5" s="2" t="s">
        <v>10</v>
      </c>
      <c r="K5" s="2" t="s">
        <v>11</v>
      </c>
      <c r="L5" s="2" t="s">
        <v>12</v>
      </c>
      <c r="M5" s="2" t="s">
        <v>13</v>
      </c>
    </row>
    <row r="6" spans="1:16" ht="18" customHeight="1" x14ac:dyDescent="0.3">
      <c r="A6" s="3" t="s">
        <v>14</v>
      </c>
      <c r="B6" s="4">
        <v>30</v>
      </c>
      <c r="C6" s="4">
        <v>8</v>
      </c>
      <c r="D6" s="4">
        <f>COUNTIFS('V1 - Encoding and Sanitization'!$F$2:$F$36,"Compliant",'V1 - Encoding and Sanitization'!$E$2:$E$36,1)</f>
        <v>6</v>
      </c>
      <c r="E6" s="5">
        <f t="shared" ref="E6:E20" si="0">IF(C6=0,"",D6/C6)</f>
        <v>0.75</v>
      </c>
      <c r="F6" s="4">
        <v>19</v>
      </c>
      <c r="G6" s="4">
        <f>COUNTIFS('V1 - Encoding and Sanitization'!$F$2:$F$36,"Compliant",'V1 - Encoding and Sanitization'!$E$2:$E$36,2)</f>
        <v>8</v>
      </c>
      <c r="H6" s="5">
        <f t="shared" ref="H6:H22" si="1">IF(F6=0,"",G6/F6)</f>
        <v>0.42105263157894735</v>
      </c>
      <c r="I6" s="4">
        <v>3</v>
      </c>
      <c r="J6" s="4">
        <f>COUNTIFS('V1 - Encoding and Sanitization'!$F$2:$F$36,"Compliant",'V1 - Encoding and Sanitization'!$E$2:$E$36,3)</f>
        <v>2</v>
      </c>
      <c r="K6" s="5">
        <f t="shared" ref="K6:K13" si="2">IF(I6=0,"",J6/I6)</f>
        <v>0.66666666666666663</v>
      </c>
      <c r="L6" s="4">
        <f>COUNTIF('V1 - Encoding and Sanitization'!$F$2:$F$36,"Compliant")</f>
        <v>16</v>
      </c>
      <c r="M6" s="5">
        <f t="shared" ref="M6:M22" si="3">IF(B6=0,"",L6/B6)</f>
        <v>0.53333333333333333</v>
      </c>
    </row>
    <row r="7" spans="1:16" ht="18" customHeight="1" x14ac:dyDescent="0.3">
      <c r="A7" s="6" t="s">
        <v>15</v>
      </c>
      <c r="B7" s="7">
        <v>13</v>
      </c>
      <c r="C7" s="7">
        <v>4</v>
      </c>
      <c r="D7" s="7">
        <f>COUNTIFS('V2 - Validation and Business Lo'!$F$2:$F$18,"Compliant",'V2 - Validation and Business Lo'!$E$2:$E$18,1)</f>
        <v>4</v>
      </c>
      <c r="E7" s="8">
        <f t="shared" si="0"/>
        <v>1</v>
      </c>
      <c r="F7" s="7">
        <v>7</v>
      </c>
      <c r="G7" s="7">
        <f>COUNTIFS('V2 - Validation and Business Lo'!$F$2:$F$18,"Compliant",'V2 - Validation and Business Lo'!$E$2:$E$18,2)</f>
        <v>7</v>
      </c>
      <c r="H7" s="8">
        <f t="shared" si="1"/>
        <v>1</v>
      </c>
      <c r="I7" s="7">
        <v>2</v>
      </c>
      <c r="J7" s="7">
        <f>COUNTIFS('V2 - Validation and Business Lo'!$F$2:$F$18,"Compliant",'V2 - Validation and Business Lo'!$E$2:$E$18,3)</f>
        <v>1</v>
      </c>
      <c r="K7" s="8">
        <f t="shared" si="2"/>
        <v>0.5</v>
      </c>
      <c r="L7" s="7">
        <f>COUNTIF('V2 - Validation and Business Lo'!$F$2:$F$18,"Compliant")</f>
        <v>12</v>
      </c>
      <c r="M7" s="8">
        <f t="shared" si="3"/>
        <v>0.92307692307692313</v>
      </c>
    </row>
    <row r="8" spans="1:16" ht="18" customHeight="1" x14ac:dyDescent="0.3">
      <c r="A8" s="3" t="s">
        <v>16</v>
      </c>
      <c r="B8" s="4">
        <v>31</v>
      </c>
      <c r="C8" s="4">
        <v>8</v>
      </c>
      <c r="D8" s="4">
        <f>COUNTIFS('V3 - Web Frontend Security'!$F$2:$F$39,"Compliant",'V3 - Web Frontend Security'!$E$2:$E$39,1)</f>
        <v>5</v>
      </c>
      <c r="E8" s="5">
        <f t="shared" si="0"/>
        <v>0.625</v>
      </c>
      <c r="F8" s="4">
        <v>11</v>
      </c>
      <c r="G8" s="4">
        <f>COUNTIFS('V3 - Web Frontend Security'!$F$2:$F$39,"Compliant",'V3 - Web Frontend Security'!$E$2:$E$39,2)</f>
        <v>6</v>
      </c>
      <c r="H8" s="5">
        <f t="shared" si="1"/>
        <v>0.54545454545454541</v>
      </c>
      <c r="I8" s="4">
        <v>12</v>
      </c>
      <c r="J8" s="4">
        <f>COUNTIFS('V3 - Web Frontend Security'!$F$2:$F$39,"Compliant",'V3 - Web Frontend Security'!$E$2:$E$39,3)</f>
        <v>1</v>
      </c>
      <c r="K8" s="5">
        <f t="shared" si="2"/>
        <v>8.3333333333333329E-2</v>
      </c>
      <c r="L8" s="4">
        <f>COUNTIF('V3 - Web Frontend Security'!$F$2:$F$39,"Compliant")</f>
        <v>12</v>
      </c>
      <c r="M8" s="5">
        <f t="shared" si="3"/>
        <v>0.38709677419354838</v>
      </c>
    </row>
    <row r="9" spans="1:16" ht="18" customHeight="1" x14ac:dyDescent="0.3">
      <c r="A9" s="6" t="s">
        <v>17</v>
      </c>
      <c r="B9" s="7">
        <v>16</v>
      </c>
      <c r="C9" s="7">
        <v>2</v>
      </c>
      <c r="D9" s="7">
        <f>COUNTIFS('V4 - API and Web Service'!$F$2:$F$21,"Compliant",'V4 - API and Web Service'!$E$2:$E$21,1)</f>
        <v>1</v>
      </c>
      <c r="E9" s="8">
        <f t="shared" si="0"/>
        <v>0.5</v>
      </c>
      <c r="F9" s="7">
        <v>8</v>
      </c>
      <c r="G9" s="7">
        <f>COUNTIFS('V4 - API and Web Service'!$F$2:$F$21,"Compliant",'V4 - API and Web Service'!$E$2:$E$21,2)</f>
        <v>3</v>
      </c>
      <c r="H9" s="8">
        <f t="shared" si="1"/>
        <v>0.375</v>
      </c>
      <c r="I9" s="7">
        <v>6</v>
      </c>
      <c r="J9" s="7">
        <f>COUNTIFS('V4 - API and Web Service'!$F$2:$F$21,"Compliant",'V4 - API and Web Service'!$E$2:$E$21,3)</f>
        <v>5</v>
      </c>
      <c r="K9" s="8">
        <f t="shared" si="2"/>
        <v>0.83333333333333337</v>
      </c>
      <c r="L9" s="7">
        <f>COUNTIF('V4 - API and Web Service'!$F$2:$F$21,"Compliant")</f>
        <v>9</v>
      </c>
      <c r="M9" s="8">
        <f t="shared" si="3"/>
        <v>0.5625</v>
      </c>
    </row>
    <row r="10" spans="1:16" ht="18" customHeight="1" x14ac:dyDescent="0.3">
      <c r="A10" s="3" t="s">
        <v>18</v>
      </c>
      <c r="B10" s="4">
        <v>13</v>
      </c>
      <c r="C10" s="4">
        <v>4</v>
      </c>
      <c r="D10" s="4">
        <f>COUNTIFS('V5 - File Handling'!$F$2:$F$18,"Compliant",'V5 - File Handling'!$E$2:$E$18,1)</f>
        <v>1</v>
      </c>
      <c r="E10" s="5">
        <f t="shared" si="0"/>
        <v>0.25</v>
      </c>
      <c r="F10" s="4">
        <v>5</v>
      </c>
      <c r="G10" s="4">
        <f>COUNTIFS('V5 - File Handling'!$F$2:$F$18,"Compliant",'V5 - File Handling'!$E$2:$E$18,2)</f>
        <v>0</v>
      </c>
      <c r="H10" s="5">
        <f t="shared" si="1"/>
        <v>0</v>
      </c>
      <c r="I10" s="4">
        <v>4</v>
      </c>
      <c r="J10" s="4">
        <f>COUNTIFS('V5 - File Handling'!$F$2:$F$18,"Compliant",'V5 - File Handling'!$E$2:$E$18,3)</f>
        <v>0</v>
      </c>
      <c r="K10" s="5">
        <f t="shared" si="2"/>
        <v>0</v>
      </c>
      <c r="L10" s="4">
        <f>COUNTIF('V5 - File Handling'!$F$2:$F$18,"Compliant")</f>
        <v>1</v>
      </c>
      <c r="M10" s="5">
        <f t="shared" si="3"/>
        <v>7.6923076923076927E-2</v>
      </c>
    </row>
    <row r="11" spans="1:16" ht="18" customHeight="1" x14ac:dyDescent="0.3">
      <c r="A11" s="6" t="s">
        <v>19</v>
      </c>
      <c r="B11" s="7">
        <v>47</v>
      </c>
      <c r="C11" s="7">
        <v>13</v>
      </c>
      <c r="D11" s="7">
        <f>COUNTIFS('V6 - Authentication'!$F$2:$F$56,"Compliant",'V6 - Authentication'!$E$2:$E$56,1)</f>
        <v>11</v>
      </c>
      <c r="E11" s="8">
        <f t="shared" si="0"/>
        <v>0.84615384615384615</v>
      </c>
      <c r="F11" s="7">
        <v>22</v>
      </c>
      <c r="G11" s="7">
        <f>COUNTIFS('V6 - Authentication'!$F$2:$F$56,"Compliant",'V6 - Authentication'!$E$2:$E$56,2)</f>
        <v>8</v>
      </c>
      <c r="H11" s="8">
        <f t="shared" si="1"/>
        <v>0.36363636363636365</v>
      </c>
      <c r="I11" s="7">
        <v>12</v>
      </c>
      <c r="J11" s="7">
        <f>COUNTIFS('V6 - Authentication'!$F$2:$F$56,"Compliant",'V6 - Authentication'!$E$2:$E$56,3)</f>
        <v>3</v>
      </c>
      <c r="K11" s="8">
        <f t="shared" si="2"/>
        <v>0.25</v>
      </c>
      <c r="L11" s="7">
        <f>COUNTIF('V6 - Authentication'!$F$2:$F$56,"Compliant")</f>
        <v>22</v>
      </c>
      <c r="M11" s="8">
        <f t="shared" si="3"/>
        <v>0.46808510638297873</v>
      </c>
    </row>
    <row r="12" spans="1:16" ht="18" customHeight="1" x14ac:dyDescent="0.3">
      <c r="A12" s="3" t="s">
        <v>20</v>
      </c>
      <c r="B12" s="4">
        <v>19</v>
      </c>
      <c r="C12" s="4">
        <v>6</v>
      </c>
      <c r="D12" s="4">
        <f>COUNTIFS('V7 - Session Management'!$F$2:$F$26,"Compliant",'V7 - Session Management'!$E$2:$E$26,1)</f>
        <v>4</v>
      </c>
      <c r="E12" s="5">
        <f t="shared" si="0"/>
        <v>0.66666666666666663</v>
      </c>
      <c r="F12" s="4">
        <v>12</v>
      </c>
      <c r="G12" s="4">
        <f>COUNTIFS('V7 - Session Management'!$F$2:$F$26,"Compliant",'V7 - Session Management'!$E$2:$E$26,2)</f>
        <v>7</v>
      </c>
      <c r="H12" s="5">
        <f t="shared" si="1"/>
        <v>0.58333333333333337</v>
      </c>
      <c r="I12" s="4">
        <v>1</v>
      </c>
      <c r="J12" s="4">
        <f>COUNTIFS('V7 - Session Management'!$F$2:$F$26,"Compliant",'V7 - Session Management'!$E$2:$E$26,3)</f>
        <v>1</v>
      </c>
      <c r="K12" s="5">
        <f t="shared" si="2"/>
        <v>1</v>
      </c>
      <c r="L12" s="4">
        <f>COUNTIF('V7 - Session Management'!$F$2:$F$26,"Compliant")</f>
        <v>12</v>
      </c>
      <c r="M12" s="5">
        <f t="shared" si="3"/>
        <v>0.63157894736842102</v>
      </c>
    </row>
    <row r="13" spans="1:16" ht="18" customHeight="1" x14ac:dyDescent="0.3">
      <c r="A13" s="6" t="s">
        <v>21</v>
      </c>
      <c r="B13" s="7">
        <v>13</v>
      </c>
      <c r="C13" s="7">
        <v>4</v>
      </c>
      <c r="D13" s="7">
        <f>COUNTIFS('V8 - Authorization'!$F$2:$F$18,"Compliant",'V8 - Authorization'!$E$2:$E$18,1)</f>
        <v>4</v>
      </c>
      <c r="E13" s="8">
        <f t="shared" si="0"/>
        <v>1</v>
      </c>
      <c r="F13" s="7">
        <v>3</v>
      </c>
      <c r="G13" s="7">
        <f>COUNTIFS('V8 - Authorization'!$F$2:$F$18,"Compliant",'V8 - Authorization'!$E$2:$E$18,2)</f>
        <v>2</v>
      </c>
      <c r="H13" s="8">
        <f t="shared" si="1"/>
        <v>0.66666666666666663</v>
      </c>
      <c r="I13" s="7">
        <v>6</v>
      </c>
      <c r="J13" s="7">
        <f>COUNTIFS('V8 - Authorization'!$F$2:$F$18,"Compliant",'V8 - Authorization'!$E$2:$E$18,3)</f>
        <v>1</v>
      </c>
      <c r="K13" s="8">
        <f t="shared" si="2"/>
        <v>0.16666666666666666</v>
      </c>
      <c r="L13" s="7">
        <f>COUNTIF('V8 - Authorization'!$F$2:$F$18,"Compliant")</f>
        <v>7</v>
      </c>
      <c r="M13" s="8">
        <f t="shared" si="3"/>
        <v>0.53846153846153844</v>
      </c>
    </row>
    <row r="14" spans="1:16" ht="18" customHeight="1" x14ac:dyDescent="0.3">
      <c r="A14" s="3" t="s">
        <v>22</v>
      </c>
      <c r="B14" s="4">
        <v>7</v>
      </c>
      <c r="C14" s="4">
        <v>4</v>
      </c>
      <c r="D14" s="4">
        <f>COUNTIFS('V9 - Self-contained Tokens'!$F$2:$F$10,"Compliant",'V9 - Self-contained Tokens'!$E$2:$E$10,1)</f>
        <v>4</v>
      </c>
      <c r="E14" s="5">
        <f t="shared" si="0"/>
        <v>1</v>
      </c>
      <c r="F14" s="4">
        <v>3</v>
      </c>
      <c r="G14" s="4">
        <f>COUNTIFS('V9 - Self-contained Tokens'!$F$2:$F$10,"Compliant",'V9 - Self-contained Tokens'!$E$2:$E$10,2)</f>
        <v>3</v>
      </c>
      <c r="H14" s="5">
        <f t="shared" si="1"/>
        <v>1</v>
      </c>
      <c r="I14" s="4">
        <v>0</v>
      </c>
      <c r="J14" s="4" t="s">
        <v>23</v>
      </c>
      <c r="K14" s="4" t="s">
        <v>23</v>
      </c>
      <c r="L14" s="4">
        <f>COUNTIF('V9 - Self-contained Tokens'!$F$2:$F$10,"Compliant")</f>
        <v>7</v>
      </c>
      <c r="M14" s="5">
        <f t="shared" si="3"/>
        <v>1</v>
      </c>
    </row>
    <row r="15" spans="1:16" ht="18" customHeight="1" x14ac:dyDescent="0.3">
      <c r="A15" s="6" t="s">
        <v>24</v>
      </c>
      <c r="B15" s="7">
        <v>36</v>
      </c>
      <c r="C15" s="7">
        <v>5</v>
      </c>
      <c r="D15" s="7">
        <f>COUNTIFS('V10 - OAuth and OIDC'!$F$2:$F$44,"Compliant",'V10 - OAuth and OIDC'!$E$2:$E$44,1)</f>
        <v>5</v>
      </c>
      <c r="E15" s="8">
        <f t="shared" si="0"/>
        <v>1</v>
      </c>
      <c r="F15" s="7">
        <v>24</v>
      </c>
      <c r="G15" s="7">
        <f>COUNTIFS('V10 - OAuth and OIDC'!$F$2:$F$44,"Compliant",'V10 - OAuth and OIDC'!$E$2:$E$44,2)</f>
        <v>15</v>
      </c>
      <c r="H15" s="8">
        <f t="shared" si="1"/>
        <v>0.625</v>
      </c>
      <c r="I15" s="7">
        <v>7</v>
      </c>
      <c r="J15" s="7">
        <f>COUNTIFS('V10 - OAuth and OIDC'!$F$2:$F$44,"Compliant",'V10 - OAuth and OIDC'!$E$2:$E$44,3)</f>
        <v>0</v>
      </c>
      <c r="K15" s="8">
        <f t="shared" ref="K15:K22" si="4">IF(I15=0,"",J15/I15)</f>
        <v>0</v>
      </c>
      <c r="L15" s="7">
        <f>COUNTIF('V10 - OAuth and OIDC'!$F$2:$F$44,"Compliant")</f>
        <v>20</v>
      </c>
      <c r="M15" s="8">
        <f t="shared" si="3"/>
        <v>0.55555555555555558</v>
      </c>
    </row>
    <row r="16" spans="1:16" ht="18" customHeight="1" x14ac:dyDescent="0.3">
      <c r="A16" s="3" t="s">
        <v>25</v>
      </c>
      <c r="B16" s="4">
        <v>24</v>
      </c>
      <c r="C16" s="4">
        <v>3</v>
      </c>
      <c r="D16" s="4">
        <f>COUNTIFS('V11 - Cryptography'!$F$2:$F$32,"Compliant",'V11 - Cryptography'!$E$2:$E$32,1)</f>
        <v>1</v>
      </c>
      <c r="E16" s="5">
        <f t="shared" si="0"/>
        <v>0.33333333333333331</v>
      </c>
      <c r="F16" s="4">
        <v>11</v>
      </c>
      <c r="G16" s="4">
        <f>COUNTIFS('V11 - Cryptography'!$F$2:$F$32,"Compliant",'V11 - Cryptography'!$E$2:$E$32,2)</f>
        <v>9</v>
      </c>
      <c r="H16" s="5">
        <f t="shared" si="1"/>
        <v>0.81818181818181823</v>
      </c>
      <c r="I16" s="4">
        <v>10</v>
      </c>
      <c r="J16" s="4">
        <f>COUNTIFS('V11 - Cryptography'!$F$2:$F$32,"Compliant",'V11 - Cryptography'!$E$2:$E$32,3)</f>
        <v>3</v>
      </c>
      <c r="K16" s="5">
        <f t="shared" si="4"/>
        <v>0.3</v>
      </c>
      <c r="L16" s="4">
        <f>COUNTIF('V11 - Cryptography'!$F$2:$F$32,"Compliant")</f>
        <v>13</v>
      </c>
      <c r="M16" s="5">
        <f t="shared" si="3"/>
        <v>0.54166666666666663</v>
      </c>
    </row>
    <row r="17" spans="1:13" ht="18" customHeight="1" x14ac:dyDescent="0.3">
      <c r="A17" s="6" t="s">
        <v>26</v>
      </c>
      <c r="B17" s="7">
        <v>12</v>
      </c>
      <c r="C17" s="7">
        <v>3</v>
      </c>
      <c r="D17" s="7">
        <f>COUNTIFS('V12 - Secure Communication'!$F$2:$F$16,"Compliant",'V12 - Secure Communication'!$E$2:$E$16,1)</f>
        <v>3</v>
      </c>
      <c r="E17" s="8">
        <f t="shared" si="0"/>
        <v>1</v>
      </c>
      <c r="F17" s="7">
        <v>6</v>
      </c>
      <c r="G17" s="7">
        <f>COUNTIFS('V12 - Secure Communication'!$F$2:$F$16,"Compliant",'V12 - Secure Communication'!$E$2:$E$16,2)</f>
        <v>4</v>
      </c>
      <c r="H17" s="8">
        <f t="shared" si="1"/>
        <v>0.66666666666666663</v>
      </c>
      <c r="I17" s="7">
        <v>3</v>
      </c>
      <c r="J17" s="7">
        <f>COUNTIFS('V12 - Secure Communication'!$F$2:$F$16,"Compliant",'V12 - Secure Communication'!$E$2:$E$16,3)</f>
        <v>0</v>
      </c>
      <c r="K17" s="8">
        <f t="shared" si="4"/>
        <v>0</v>
      </c>
      <c r="L17" s="7">
        <f>COUNTIF('V12 - Secure Communication'!$F$2:$F$16,"Compliant")</f>
        <v>7</v>
      </c>
      <c r="M17" s="8">
        <f t="shared" si="3"/>
        <v>0.58333333333333337</v>
      </c>
    </row>
    <row r="18" spans="1:13" ht="18" customHeight="1" x14ac:dyDescent="0.3">
      <c r="A18" s="3" t="s">
        <v>27</v>
      </c>
      <c r="B18" s="4">
        <v>21</v>
      </c>
      <c r="C18" s="4">
        <v>1</v>
      </c>
      <c r="D18" s="4">
        <f>COUNTIFS('V13 - Configuration'!$F$2:$F$26,"Compliant",'V13 - Configuration'!$E$2:$E$26,1)</f>
        <v>1</v>
      </c>
      <c r="E18" s="5">
        <f t="shared" si="0"/>
        <v>1</v>
      </c>
      <c r="F18" s="4">
        <v>12</v>
      </c>
      <c r="G18" s="4">
        <f>COUNTIFS('V13 - Configuration'!$F$2:$F$26,"Compliant",'V13 - Configuration'!$E$2:$E$26,2)</f>
        <v>12</v>
      </c>
      <c r="H18" s="5">
        <f t="shared" si="1"/>
        <v>1</v>
      </c>
      <c r="I18" s="4">
        <v>8</v>
      </c>
      <c r="J18" s="4">
        <f>COUNTIFS('V13 - Configuration'!$F$2:$F$26,"Compliant",'V13 - Configuration'!$E$2:$E$26,3)</f>
        <v>8</v>
      </c>
      <c r="K18" s="5">
        <f t="shared" si="4"/>
        <v>1</v>
      </c>
      <c r="L18" s="4">
        <f>COUNTIF('V13 - Configuration'!$F$2:$F$26,"Compliant")</f>
        <v>21</v>
      </c>
      <c r="M18" s="5">
        <f t="shared" si="3"/>
        <v>1</v>
      </c>
    </row>
    <row r="19" spans="1:13" ht="18" customHeight="1" x14ac:dyDescent="0.3">
      <c r="A19" s="6" t="s">
        <v>28</v>
      </c>
      <c r="B19" s="7">
        <v>13</v>
      </c>
      <c r="C19" s="7">
        <v>2</v>
      </c>
      <c r="D19" s="7">
        <f>COUNTIFS('V14 - Data Protection'!$F$2:$F$17,"Compliant",'V14 - Data Protection'!$E$2:$E$17,1)</f>
        <v>1</v>
      </c>
      <c r="E19" s="8">
        <f t="shared" si="0"/>
        <v>0.5</v>
      </c>
      <c r="F19" s="7">
        <v>7</v>
      </c>
      <c r="G19" s="7">
        <f>COUNTIFS('V14 - Data Protection'!$F$2:$F$17,"Compliant",'V14 - Data Protection'!$E$2:$E$17,2)</f>
        <v>5</v>
      </c>
      <c r="H19" s="8">
        <f t="shared" si="1"/>
        <v>0.7142857142857143</v>
      </c>
      <c r="I19" s="7">
        <v>4</v>
      </c>
      <c r="J19" s="7">
        <f>COUNTIFS('V14 - Data Protection'!$F$2:$F$17,"Compliant",'V14 - Data Protection'!$E$2:$E$17,3)</f>
        <v>0</v>
      </c>
      <c r="K19" s="8">
        <f t="shared" si="4"/>
        <v>0</v>
      </c>
      <c r="L19" s="7">
        <f>COUNTIF('V14 - Data Protection'!$F$2:$F$17,"Compliant")</f>
        <v>6</v>
      </c>
      <c r="M19" s="8">
        <f t="shared" si="3"/>
        <v>0.46153846153846156</v>
      </c>
    </row>
    <row r="20" spans="1:13" ht="18" customHeight="1" x14ac:dyDescent="0.3">
      <c r="A20" s="3" t="s">
        <v>29</v>
      </c>
      <c r="B20" s="4">
        <v>21</v>
      </c>
      <c r="C20" s="4">
        <v>3</v>
      </c>
      <c r="D20" s="4">
        <f>COUNTIFS('V15 - Secure Coding and Archite'!$F$2:$F$26,"Compliant",'V15 - Secure Coding and Archite'!$E$2:$E$26,1)</f>
        <v>3</v>
      </c>
      <c r="E20" s="5">
        <f t="shared" si="0"/>
        <v>1</v>
      </c>
      <c r="F20" s="4">
        <v>10</v>
      </c>
      <c r="G20" s="4">
        <f>COUNTIFS('V15 - Secure Coding and Archite'!$F$2:$F$26,"Compliant",'V15 - Secure Coding and Archite'!$E$2:$E$26,2)</f>
        <v>9</v>
      </c>
      <c r="H20" s="5">
        <f t="shared" si="1"/>
        <v>0.9</v>
      </c>
      <c r="I20" s="4">
        <v>8</v>
      </c>
      <c r="J20" s="4">
        <f>COUNTIFS('V15 - Secure Coding and Archite'!$F$2:$F$26,"Compliant",'V15 - Secure Coding and Archite'!$E$2:$E$26,3)</f>
        <v>4</v>
      </c>
      <c r="K20" s="5">
        <f t="shared" si="4"/>
        <v>0.5</v>
      </c>
      <c r="L20" s="4">
        <f>COUNTIF('V15 - Secure Coding and Archite'!$F$2:$F$26,"Compliant")</f>
        <v>16</v>
      </c>
      <c r="M20" s="5">
        <f t="shared" si="3"/>
        <v>0.76190476190476186</v>
      </c>
    </row>
    <row r="21" spans="1:13" ht="18" customHeight="1" x14ac:dyDescent="0.3">
      <c r="A21" s="6" t="s">
        <v>30</v>
      </c>
      <c r="B21" s="7">
        <v>17</v>
      </c>
      <c r="C21" s="7">
        <v>0</v>
      </c>
      <c r="D21" s="7" t="s">
        <v>23</v>
      </c>
      <c r="E21" s="7" t="s">
        <v>23</v>
      </c>
      <c r="F21" s="7">
        <v>16</v>
      </c>
      <c r="G21" s="7">
        <f>COUNTIFS('V16 - Security Logging and Erro'!$F$2:$F$23,"Compliant",'V16 - Security Logging and Erro'!$E$2:$E$23,2)</f>
        <v>16</v>
      </c>
      <c r="H21" s="8">
        <f t="shared" si="1"/>
        <v>1</v>
      </c>
      <c r="I21" s="7">
        <v>1</v>
      </c>
      <c r="J21" s="7">
        <f>COUNTIFS('V16 - Security Logging and Erro'!$F$2:$F$23,"Compliant",'V16 - Security Logging and Erro'!$E$2:$E$23,3)</f>
        <v>1</v>
      </c>
      <c r="K21" s="8">
        <f t="shared" si="4"/>
        <v>1</v>
      </c>
      <c r="L21" s="7">
        <f>COUNTIF('V16 - Security Logging and Erro'!$F$2:$F$23,"Compliant")</f>
        <v>17</v>
      </c>
      <c r="M21" s="8">
        <f t="shared" si="3"/>
        <v>1</v>
      </c>
    </row>
    <row r="22" spans="1:13" ht="18" customHeight="1" x14ac:dyDescent="0.3">
      <c r="A22" s="3" t="s">
        <v>31</v>
      </c>
      <c r="B22" s="4">
        <v>12</v>
      </c>
      <c r="C22" s="4">
        <v>0</v>
      </c>
      <c r="D22" s="4" t="s">
        <v>23</v>
      </c>
      <c r="E22" s="4" t="s">
        <v>23</v>
      </c>
      <c r="F22" s="4">
        <v>7</v>
      </c>
      <c r="G22" s="4">
        <f>COUNTIFS('V17 - WebRTC'!$F$2:$F$16,"Compliant",'V17 - WebRTC'!$E$2:$E$16,2)</f>
        <v>0</v>
      </c>
      <c r="H22" s="5">
        <f t="shared" si="1"/>
        <v>0</v>
      </c>
      <c r="I22" s="4">
        <v>5</v>
      </c>
      <c r="J22" s="4">
        <f>COUNTIFS('V17 - WebRTC'!$F$2:$F$16,"Compliant",'V17 - WebRTC'!$E$2:$E$16,3)</f>
        <v>0</v>
      </c>
      <c r="K22" s="5">
        <f t="shared" si="4"/>
        <v>0</v>
      </c>
      <c r="L22" s="4">
        <f>COUNTIF('V17 - WebRTC'!$F$2:$F$16,"Compliant")</f>
        <v>0</v>
      </c>
      <c r="M22" s="5">
        <f t="shared" si="3"/>
        <v>0</v>
      </c>
    </row>
    <row r="23" spans="1:13" ht="22.05" customHeight="1" x14ac:dyDescent="0.3">
      <c r="A23" s="9" t="s">
        <v>32</v>
      </c>
      <c r="B23" s="10">
        <f>SUM(B6:B22)</f>
        <v>345</v>
      </c>
      <c r="C23" s="10">
        <f>SUM(C6:C22)</f>
        <v>70</v>
      </c>
      <c r="D23" s="10">
        <f>SUM(D6:D22)</f>
        <v>54</v>
      </c>
      <c r="E23" s="11">
        <f>IFERROR(AVERAGE(E6:E22),"")</f>
        <v>0.7647435897435898</v>
      </c>
      <c r="F23" s="10">
        <f>SUM(F6:F22)</f>
        <v>183</v>
      </c>
      <c r="G23" s="10">
        <f>SUM(G6:G22)</f>
        <v>114</v>
      </c>
      <c r="H23" s="11">
        <f>IFERROR(AVERAGE(H6:H22),"")</f>
        <v>0.62819280822376811</v>
      </c>
      <c r="I23" s="10">
        <f>SUM(I6:I22)</f>
        <v>92</v>
      </c>
      <c r="J23" s="10">
        <f>SUM(J6:J22)</f>
        <v>30</v>
      </c>
      <c r="K23" s="11">
        <f>IFERROR(AVERAGE(K6:K22),"")</f>
        <v>0.39374999999999993</v>
      </c>
      <c r="L23" s="10">
        <f>SUM(L6:L22)</f>
        <v>198</v>
      </c>
      <c r="M23" s="11">
        <f>IFERROR(AVERAGE(M6:M22),"")</f>
        <v>0.58970908698462354</v>
      </c>
    </row>
  </sheetData>
  <mergeCells count="3">
    <mergeCell ref="A1:P1"/>
    <mergeCell ref="A3:B3"/>
    <mergeCell ref="A2:P2"/>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ageMargins left="0.75" right="0.75" top="1" bottom="1" header="0.51180555555555496" footer="0.51180555555555496"/>
  <pageSetup firstPageNumber="0"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
  <sheetViews>
    <sheetView topLeftCell="D1" zoomScale="120" zoomScaleNormal="120" workbookViewId="0">
      <pane ySplit="1" topLeftCell="A2" activePane="bottomLeft" state="frozen"/>
      <selection pane="bottomLeft" activeCell="G10" sqref="G10"/>
    </sheetView>
  </sheetViews>
  <sheetFormatPr defaultColWidth="8.5546875" defaultRowHeight="14.4" x14ac:dyDescent="0.3"/>
  <cols>
    <col min="1" max="1" width="12" customWidth="1"/>
    <col min="2" max="2" width="28" customWidth="1"/>
    <col min="3" max="3" width="12" customWidth="1"/>
    <col min="4" max="4" width="80.21875"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41</v>
      </c>
      <c r="B2" s="13" t="s">
        <v>42</v>
      </c>
      <c r="C2" s="13"/>
      <c r="D2" s="13"/>
      <c r="E2" s="13"/>
      <c r="F2" s="13"/>
      <c r="G2" s="13"/>
      <c r="H2" s="13"/>
    </row>
    <row r="3" spans="1:8" ht="29.4" customHeight="1" x14ac:dyDescent="0.3">
      <c r="A3" s="14" t="s">
        <v>41</v>
      </c>
      <c r="B3" s="14" t="s">
        <v>42</v>
      </c>
      <c r="C3" s="15" t="s">
        <v>43</v>
      </c>
      <c r="D3" s="16" t="s">
        <v>44</v>
      </c>
      <c r="E3" s="17">
        <v>2</v>
      </c>
      <c r="F3" s="18" t="s">
        <v>82</v>
      </c>
      <c r="G3" s="25" t="s">
        <v>45</v>
      </c>
      <c r="H3" s="16" t="s">
        <v>46</v>
      </c>
    </row>
    <row r="4" spans="1:8" ht="30.6" customHeight="1" x14ac:dyDescent="0.3">
      <c r="A4" s="19" t="s">
        <v>41</v>
      </c>
      <c r="B4" s="19" t="s">
        <v>42</v>
      </c>
      <c r="C4" s="20" t="s">
        <v>47</v>
      </c>
      <c r="D4" s="21" t="s">
        <v>48</v>
      </c>
      <c r="E4" s="17">
        <v>2</v>
      </c>
      <c r="F4" s="18" t="s">
        <v>82</v>
      </c>
      <c r="G4" s="21" t="s">
        <v>49</v>
      </c>
      <c r="H4" s="24" t="s">
        <v>50</v>
      </c>
    </row>
    <row r="5" spans="1:8" ht="18" customHeight="1" x14ac:dyDescent="0.3">
      <c r="A5" s="13" t="s">
        <v>51</v>
      </c>
      <c r="B5" s="13" t="s">
        <v>52</v>
      </c>
      <c r="C5" s="13"/>
      <c r="D5" s="13"/>
      <c r="E5" s="13"/>
      <c r="F5" s="13"/>
      <c r="G5" s="13"/>
      <c r="H5" s="13"/>
    </row>
    <row r="6" spans="1:8" ht="30" customHeight="1" x14ac:dyDescent="0.3">
      <c r="A6" s="14" t="s">
        <v>51</v>
      </c>
      <c r="B6" s="14" t="s">
        <v>52</v>
      </c>
      <c r="C6" s="15" t="s">
        <v>53</v>
      </c>
      <c r="D6" s="16" t="s">
        <v>54</v>
      </c>
      <c r="E6" s="22">
        <v>1</v>
      </c>
      <c r="F6" s="18" t="s">
        <v>82</v>
      </c>
      <c r="G6" s="25" t="s">
        <v>55</v>
      </c>
      <c r="H6" s="16" t="s">
        <v>46</v>
      </c>
    </row>
    <row r="7" spans="1:8" ht="30" customHeight="1" x14ac:dyDescent="0.3">
      <c r="A7" s="19" t="s">
        <v>51</v>
      </c>
      <c r="B7" s="19" t="s">
        <v>52</v>
      </c>
      <c r="C7" s="20" t="s">
        <v>56</v>
      </c>
      <c r="D7" s="21" t="s">
        <v>57</v>
      </c>
      <c r="E7" s="22">
        <v>1</v>
      </c>
      <c r="F7" s="18" t="s">
        <v>82</v>
      </c>
      <c r="G7" s="21" t="s">
        <v>58</v>
      </c>
      <c r="H7" s="21" t="s">
        <v>46</v>
      </c>
    </row>
    <row r="8" spans="1:8" ht="30" customHeight="1" x14ac:dyDescent="0.3">
      <c r="A8" s="14" t="s">
        <v>51</v>
      </c>
      <c r="B8" s="14" t="s">
        <v>52</v>
      </c>
      <c r="C8" s="15" t="s">
        <v>59</v>
      </c>
      <c r="D8" s="16" t="s">
        <v>60</v>
      </c>
      <c r="E8" s="22">
        <v>1</v>
      </c>
      <c r="F8" s="18" t="s">
        <v>82</v>
      </c>
      <c r="G8" s="16" t="s">
        <v>61</v>
      </c>
      <c r="H8" s="25" t="s">
        <v>62</v>
      </c>
    </row>
    <row r="9" spans="1:8" ht="30" customHeight="1" x14ac:dyDescent="0.3">
      <c r="A9" s="19" t="s">
        <v>51</v>
      </c>
      <c r="B9" s="19" t="s">
        <v>52</v>
      </c>
      <c r="C9" s="20" t="s">
        <v>63</v>
      </c>
      <c r="D9" s="21" t="s">
        <v>64</v>
      </c>
      <c r="E9" s="22">
        <v>1</v>
      </c>
      <c r="F9" s="18" t="s">
        <v>82</v>
      </c>
      <c r="G9" s="21" t="s">
        <v>1226</v>
      </c>
      <c r="H9" s="21" t="s">
        <v>65</v>
      </c>
    </row>
    <row r="10" spans="1:8" ht="30" customHeight="1" x14ac:dyDescent="0.3">
      <c r="A10" s="14" t="s">
        <v>51</v>
      </c>
      <c r="B10" s="14" t="s">
        <v>52</v>
      </c>
      <c r="C10" s="15" t="s">
        <v>66</v>
      </c>
      <c r="D10" s="16" t="s">
        <v>67</v>
      </c>
      <c r="E10" s="22">
        <v>1</v>
      </c>
      <c r="F10" s="18" t="s">
        <v>82</v>
      </c>
      <c r="G10" s="16" t="s">
        <v>68</v>
      </c>
      <c r="H10" s="16" t="s">
        <v>69</v>
      </c>
    </row>
    <row r="11" spans="1:8" ht="30" customHeight="1" x14ac:dyDescent="0.3">
      <c r="A11" s="19" t="s">
        <v>51</v>
      </c>
      <c r="B11" s="19" t="s">
        <v>52</v>
      </c>
      <c r="C11" s="20" t="s">
        <v>70</v>
      </c>
      <c r="D11" s="21" t="s">
        <v>71</v>
      </c>
      <c r="E11" s="17">
        <v>2</v>
      </c>
      <c r="F11" s="18" t="s">
        <v>72</v>
      </c>
      <c r="G11" s="21" t="s">
        <v>73</v>
      </c>
      <c r="H11" s="21"/>
    </row>
    <row r="12" spans="1:8" ht="30" customHeight="1" x14ac:dyDescent="0.3">
      <c r="A12" s="14" t="s">
        <v>51</v>
      </c>
      <c r="B12" s="14" t="s">
        <v>52</v>
      </c>
      <c r="C12" s="15" t="s">
        <v>74</v>
      </c>
      <c r="D12" s="16" t="s">
        <v>75</v>
      </c>
      <c r="E12" s="17">
        <v>2</v>
      </c>
      <c r="F12" s="18" t="s">
        <v>72</v>
      </c>
      <c r="G12" s="16" t="s">
        <v>76</v>
      </c>
      <c r="H12" s="16"/>
    </row>
    <row r="13" spans="1:8" ht="30" customHeight="1" x14ac:dyDescent="0.3">
      <c r="A13" s="19" t="s">
        <v>51</v>
      </c>
      <c r="B13" s="19" t="s">
        <v>52</v>
      </c>
      <c r="C13" s="20" t="s">
        <v>77</v>
      </c>
      <c r="D13" s="21" t="s">
        <v>78</v>
      </c>
      <c r="E13" s="17">
        <v>2</v>
      </c>
      <c r="F13" s="18" t="s">
        <v>72</v>
      </c>
      <c r="G13" s="21" t="s">
        <v>79</v>
      </c>
      <c r="H13" s="21"/>
    </row>
    <row r="14" spans="1:8" ht="30" customHeight="1" x14ac:dyDescent="0.3">
      <c r="A14" s="14" t="s">
        <v>51</v>
      </c>
      <c r="B14" s="14" t="s">
        <v>52</v>
      </c>
      <c r="C14" s="15" t="s">
        <v>80</v>
      </c>
      <c r="D14" s="16" t="s">
        <v>81</v>
      </c>
      <c r="E14" s="17">
        <v>2</v>
      </c>
      <c r="F14" s="18" t="s">
        <v>82</v>
      </c>
      <c r="G14" s="16" t="s">
        <v>83</v>
      </c>
      <c r="H14" s="16" t="s">
        <v>84</v>
      </c>
    </row>
    <row r="15" spans="1:8" ht="30" customHeight="1" x14ac:dyDescent="0.3">
      <c r="A15" s="19" t="s">
        <v>51</v>
      </c>
      <c r="B15" s="19" t="s">
        <v>52</v>
      </c>
      <c r="C15" s="20" t="s">
        <v>85</v>
      </c>
      <c r="D15" s="21" t="s">
        <v>86</v>
      </c>
      <c r="E15" s="23">
        <v>3</v>
      </c>
      <c r="F15" s="18" t="s">
        <v>72</v>
      </c>
      <c r="G15" s="21" t="s">
        <v>87</v>
      </c>
      <c r="H15" s="21"/>
    </row>
    <row r="16" spans="1:8" ht="18" customHeight="1" x14ac:dyDescent="0.3">
      <c r="A16" s="13" t="s">
        <v>88</v>
      </c>
      <c r="B16" s="13" t="s">
        <v>89</v>
      </c>
      <c r="C16" s="13"/>
      <c r="D16" s="13"/>
      <c r="E16" s="13"/>
      <c r="F16" s="13"/>
      <c r="G16" s="13"/>
      <c r="H16" s="13"/>
    </row>
    <row r="17" spans="1:8" ht="30" customHeight="1" x14ac:dyDescent="0.3">
      <c r="A17" s="14" t="s">
        <v>88</v>
      </c>
      <c r="B17" s="14" t="s">
        <v>89</v>
      </c>
      <c r="C17" s="15" t="s">
        <v>90</v>
      </c>
      <c r="D17" s="16" t="s">
        <v>91</v>
      </c>
      <c r="E17" s="22">
        <v>1</v>
      </c>
      <c r="F17" s="18" t="s">
        <v>72</v>
      </c>
      <c r="G17" s="16" t="s">
        <v>92</v>
      </c>
      <c r="H17" s="16"/>
    </row>
    <row r="18" spans="1:8" ht="30" customHeight="1" x14ac:dyDescent="0.3">
      <c r="A18" s="19" t="s">
        <v>88</v>
      </c>
      <c r="B18" s="19" t="s">
        <v>89</v>
      </c>
      <c r="C18" s="20" t="s">
        <v>93</v>
      </c>
      <c r="D18" s="21" t="s">
        <v>94</v>
      </c>
      <c r="E18" s="22">
        <v>1</v>
      </c>
      <c r="F18" s="18" t="s">
        <v>82</v>
      </c>
      <c r="G18" s="21" t="s">
        <v>95</v>
      </c>
      <c r="H18" s="21"/>
    </row>
    <row r="19" spans="1:8" ht="30" customHeight="1" x14ac:dyDescent="0.3">
      <c r="A19" s="14" t="s">
        <v>88</v>
      </c>
      <c r="B19" s="14" t="s">
        <v>89</v>
      </c>
      <c r="C19" s="15" t="s">
        <v>96</v>
      </c>
      <c r="D19" s="16" t="s">
        <v>97</v>
      </c>
      <c r="E19" s="17">
        <v>2</v>
      </c>
      <c r="F19" s="18" t="s">
        <v>82</v>
      </c>
      <c r="G19" s="16" t="s">
        <v>98</v>
      </c>
      <c r="H19" s="16" t="s">
        <v>69</v>
      </c>
    </row>
    <row r="20" spans="1:8" ht="30" customHeight="1" x14ac:dyDescent="0.3">
      <c r="A20" s="19" t="s">
        <v>88</v>
      </c>
      <c r="B20" s="19" t="s">
        <v>89</v>
      </c>
      <c r="C20" s="20" t="s">
        <v>99</v>
      </c>
      <c r="D20" s="21" t="s">
        <v>100</v>
      </c>
      <c r="E20" s="17">
        <v>2</v>
      </c>
      <c r="F20" s="18" t="s">
        <v>72</v>
      </c>
      <c r="G20" s="21" t="s">
        <v>101</v>
      </c>
      <c r="H20" s="21"/>
    </row>
    <row r="21" spans="1:8" ht="30" customHeight="1" x14ac:dyDescent="0.3">
      <c r="A21" s="14" t="s">
        <v>88</v>
      </c>
      <c r="B21" s="14" t="s">
        <v>89</v>
      </c>
      <c r="C21" s="15" t="s">
        <v>102</v>
      </c>
      <c r="D21" s="16" t="s">
        <v>103</v>
      </c>
      <c r="E21" s="17">
        <v>2</v>
      </c>
      <c r="F21" s="18" t="s">
        <v>72</v>
      </c>
      <c r="G21" s="16" t="s">
        <v>104</v>
      </c>
      <c r="H21" s="16"/>
    </row>
    <row r="22" spans="1:8" ht="30" customHeight="1" x14ac:dyDescent="0.3">
      <c r="A22" s="19" t="s">
        <v>88</v>
      </c>
      <c r="B22" s="19" t="s">
        <v>89</v>
      </c>
      <c r="C22" s="20" t="s">
        <v>105</v>
      </c>
      <c r="D22" s="21" t="s">
        <v>106</v>
      </c>
      <c r="E22" s="17">
        <v>2</v>
      </c>
      <c r="F22" s="18" t="s">
        <v>82</v>
      </c>
      <c r="G22" s="21" t="s">
        <v>107</v>
      </c>
      <c r="H22" s="21" t="s">
        <v>69</v>
      </c>
    </row>
    <row r="23" spans="1:8" ht="30" customHeight="1" x14ac:dyDescent="0.3">
      <c r="A23" s="14" t="s">
        <v>88</v>
      </c>
      <c r="B23" s="14" t="s">
        <v>89</v>
      </c>
      <c r="C23" s="15" t="s">
        <v>108</v>
      </c>
      <c r="D23" s="16" t="s">
        <v>109</v>
      </c>
      <c r="E23" s="17">
        <v>2</v>
      </c>
      <c r="F23" s="18" t="s">
        <v>72</v>
      </c>
      <c r="G23" s="16" t="s">
        <v>110</v>
      </c>
      <c r="H23" s="16"/>
    </row>
    <row r="24" spans="1:8" ht="30" customHeight="1" x14ac:dyDescent="0.3">
      <c r="A24" s="19" t="s">
        <v>88</v>
      </c>
      <c r="B24" s="19" t="s">
        <v>89</v>
      </c>
      <c r="C24" s="20" t="s">
        <v>111</v>
      </c>
      <c r="D24" s="21" t="s">
        <v>112</v>
      </c>
      <c r="E24" s="17">
        <v>2</v>
      </c>
      <c r="F24" s="18" t="s">
        <v>72</v>
      </c>
      <c r="G24" s="21" t="s">
        <v>113</v>
      </c>
      <c r="H24" s="21"/>
    </row>
    <row r="25" spans="1:8" ht="30" customHeight="1" x14ac:dyDescent="0.3">
      <c r="A25" s="14" t="s">
        <v>88</v>
      </c>
      <c r="B25" s="14" t="s">
        <v>89</v>
      </c>
      <c r="C25" s="15" t="s">
        <v>114</v>
      </c>
      <c r="D25" s="16" t="s">
        <v>115</v>
      </c>
      <c r="E25" s="17">
        <v>2</v>
      </c>
      <c r="F25" s="18" t="s">
        <v>72</v>
      </c>
      <c r="G25" s="16" t="s">
        <v>116</v>
      </c>
      <c r="H25" s="16"/>
    </row>
    <row r="26" spans="1:8" ht="30" customHeight="1" x14ac:dyDescent="0.3">
      <c r="A26" s="19" t="s">
        <v>88</v>
      </c>
      <c r="B26" s="19" t="s">
        <v>89</v>
      </c>
      <c r="C26" s="20" t="s">
        <v>117</v>
      </c>
      <c r="D26" s="21" t="s">
        <v>118</v>
      </c>
      <c r="E26" s="17">
        <v>2</v>
      </c>
      <c r="F26" s="18" t="s">
        <v>82</v>
      </c>
      <c r="G26" s="21" t="s">
        <v>119</v>
      </c>
      <c r="H26" s="21" t="s">
        <v>84</v>
      </c>
    </row>
    <row r="27" spans="1:8" ht="30" customHeight="1" x14ac:dyDescent="0.3">
      <c r="A27" s="14" t="s">
        <v>88</v>
      </c>
      <c r="B27" s="14" t="s">
        <v>89</v>
      </c>
      <c r="C27" s="15" t="s">
        <v>120</v>
      </c>
      <c r="D27" s="16" t="s">
        <v>121</v>
      </c>
      <c r="E27" s="17">
        <v>2</v>
      </c>
      <c r="F27" s="18" t="s">
        <v>72</v>
      </c>
      <c r="G27" s="16" t="s">
        <v>122</v>
      </c>
      <c r="H27" s="16"/>
    </row>
    <row r="28" spans="1:8" ht="30" customHeight="1" x14ac:dyDescent="0.3">
      <c r="A28" s="19" t="s">
        <v>88</v>
      </c>
      <c r="B28" s="19" t="s">
        <v>89</v>
      </c>
      <c r="C28" s="20" t="s">
        <v>123</v>
      </c>
      <c r="D28" s="21" t="s">
        <v>124</v>
      </c>
      <c r="E28" s="23">
        <v>3</v>
      </c>
      <c r="F28" s="18" t="s">
        <v>82</v>
      </c>
      <c r="G28" s="21" t="s">
        <v>125</v>
      </c>
      <c r="H28" s="21" t="s">
        <v>84</v>
      </c>
    </row>
    <row r="29" spans="1:8" ht="18" customHeight="1" x14ac:dyDescent="0.3">
      <c r="A29" s="13" t="s">
        <v>126</v>
      </c>
      <c r="B29" s="13" t="s">
        <v>127</v>
      </c>
      <c r="C29" s="13"/>
      <c r="D29" s="13"/>
      <c r="E29" s="13"/>
      <c r="F29" s="13"/>
      <c r="G29" s="13"/>
      <c r="H29" s="13"/>
    </row>
    <row r="30" spans="1:8" ht="30" customHeight="1" x14ac:dyDescent="0.3">
      <c r="A30" s="14" t="s">
        <v>126</v>
      </c>
      <c r="B30" s="14" t="s">
        <v>127</v>
      </c>
      <c r="C30" s="15" t="s">
        <v>128</v>
      </c>
      <c r="D30" s="16" t="s">
        <v>129</v>
      </c>
      <c r="E30" s="17">
        <v>2</v>
      </c>
      <c r="F30" s="18" t="s">
        <v>72</v>
      </c>
      <c r="G30" s="16" t="s">
        <v>1161</v>
      </c>
      <c r="H30" s="16"/>
    </row>
    <row r="31" spans="1:8" ht="30" customHeight="1" x14ac:dyDescent="0.3">
      <c r="A31" s="19" t="s">
        <v>126</v>
      </c>
      <c r="B31" s="19" t="s">
        <v>127</v>
      </c>
      <c r="C31" s="20" t="s">
        <v>130</v>
      </c>
      <c r="D31" s="21" t="s">
        <v>131</v>
      </c>
      <c r="E31" s="17">
        <v>2</v>
      </c>
      <c r="F31" s="18" t="s">
        <v>82</v>
      </c>
      <c r="G31" s="21" t="s">
        <v>132</v>
      </c>
      <c r="H31" s="21" t="s">
        <v>133</v>
      </c>
    </row>
    <row r="32" spans="1:8" ht="30" customHeight="1" x14ac:dyDescent="0.3">
      <c r="A32" s="14" t="s">
        <v>126</v>
      </c>
      <c r="B32" s="14" t="s">
        <v>127</v>
      </c>
      <c r="C32" s="15" t="s">
        <v>134</v>
      </c>
      <c r="D32" s="16" t="s">
        <v>135</v>
      </c>
      <c r="E32" s="17">
        <v>2</v>
      </c>
      <c r="F32" s="18" t="s">
        <v>72</v>
      </c>
      <c r="G32" s="16" t="s">
        <v>1162</v>
      </c>
      <c r="H32" s="16"/>
    </row>
    <row r="33" spans="1:8" ht="18" customHeight="1" x14ac:dyDescent="0.3">
      <c r="A33" s="13" t="s">
        <v>136</v>
      </c>
      <c r="B33" s="13" t="s">
        <v>137</v>
      </c>
      <c r="C33" s="13"/>
      <c r="D33" s="13"/>
      <c r="E33" s="13"/>
      <c r="F33" s="13"/>
      <c r="G33" s="13"/>
      <c r="H33" s="13"/>
    </row>
    <row r="34" spans="1:8" ht="30" customHeight="1" x14ac:dyDescent="0.3">
      <c r="A34" s="14" t="s">
        <v>136</v>
      </c>
      <c r="B34" s="14" t="s">
        <v>137</v>
      </c>
      <c r="C34" s="15" t="s">
        <v>138</v>
      </c>
      <c r="D34" s="16" t="s">
        <v>139</v>
      </c>
      <c r="E34" s="22">
        <v>1</v>
      </c>
      <c r="F34" s="18" t="s">
        <v>72</v>
      </c>
      <c r="G34" s="16" t="s">
        <v>140</v>
      </c>
      <c r="H34" s="16"/>
    </row>
    <row r="35" spans="1:8" ht="30" customHeight="1" x14ac:dyDescent="0.3">
      <c r="A35" s="19" t="s">
        <v>136</v>
      </c>
      <c r="B35" s="19" t="s">
        <v>137</v>
      </c>
      <c r="C35" s="20" t="s">
        <v>141</v>
      </c>
      <c r="D35" s="21" t="s">
        <v>142</v>
      </c>
      <c r="E35" s="17">
        <v>2</v>
      </c>
      <c r="F35" s="18" t="s">
        <v>82</v>
      </c>
      <c r="G35" s="21" t="s">
        <v>143</v>
      </c>
      <c r="H35" s="21" t="s">
        <v>84</v>
      </c>
    </row>
    <row r="36" spans="1:8" ht="30" customHeight="1" x14ac:dyDescent="0.3">
      <c r="A36" s="14" t="s">
        <v>136</v>
      </c>
      <c r="B36" s="14" t="s">
        <v>137</v>
      </c>
      <c r="C36" s="15" t="s">
        <v>144</v>
      </c>
      <c r="D36" s="16" t="s">
        <v>145</v>
      </c>
      <c r="E36" s="23">
        <v>3</v>
      </c>
      <c r="F36" s="18" t="s">
        <v>82</v>
      </c>
      <c r="G36" s="16" t="s">
        <v>146</v>
      </c>
      <c r="H36" s="16" t="s">
        <v>84</v>
      </c>
    </row>
  </sheetData>
  <conditionalFormatting sqref="F2:F3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6" xr:uid="{00000000-0002-0000-0100-000000000000}">
      <formula1>"Not Started,In Progress,Compliant,Not Applicable"</formula1>
      <formula2>0</formula2>
    </dataValidation>
  </dataValidations>
  <hyperlinks>
    <hyperlink ref="H4" r:id="rId1" xr:uid="{00000000-0004-0000-0100-000000000000}"/>
  </hyperlinks>
  <pageMargins left="0.75" right="0.75" top="1" bottom="1" header="0.51180555555555496" footer="0.51180555555555496"/>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
  <sheetViews>
    <sheetView topLeftCell="B1" zoomScale="103" zoomScaleNormal="75" workbookViewId="0">
      <pane ySplit="1" topLeftCell="A2" activePane="bottomLeft" state="frozen"/>
      <selection pane="bottomLeft" activeCell="K8" sqref="K8"/>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147</v>
      </c>
      <c r="B2" s="13" t="s">
        <v>148</v>
      </c>
      <c r="C2" s="13"/>
      <c r="D2" s="13"/>
      <c r="E2" s="13"/>
      <c r="F2" s="13"/>
      <c r="G2" s="13"/>
      <c r="H2" s="13"/>
    </row>
    <row r="3" spans="1:8" ht="30" customHeight="1" x14ac:dyDescent="0.3">
      <c r="A3" s="14" t="s">
        <v>147</v>
      </c>
      <c r="B3" s="14" t="s">
        <v>148</v>
      </c>
      <c r="C3" s="15" t="s">
        <v>149</v>
      </c>
      <c r="D3" s="16" t="s">
        <v>150</v>
      </c>
      <c r="E3" s="22">
        <v>1</v>
      </c>
      <c r="F3" s="18" t="s">
        <v>82</v>
      </c>
      <c r="G3" s="16" t="s">
        <v>151</v>
      </c>
      <c r="H3" s="16" t="s">
        <v>69</v>
      </c>
    </row>
    <row r="4" spans="1:8" ht="30" customHeight="1" x14ac:dyDescent="0.3">
      <c r="A4" s="19" t="s">
        <v>147</v>
      </c>
      <c r="B4" s="19" t="s">
        <v>148</v>
      </c>
      <c r="C4" s="20" t="s">
        <v>152</v>
      </c>
      <c r="D4" s="21" t="s">
        <v>153</v>
      </c>
      <c r="E4" s="17">
        <v>2</v>
      </c>
      <c r="F4" s="18" t="s">
        <v>82</v>
      </c>
      <c r="G4" s="21" t="s">
        <v>154</v>
      </c>
      <c r="H4" s="21" t="s">
        <v>155</v>
      </c>
    </row>
    <row r="5" spans="1:8" ht="30" customHeight="1" x14ac:dyDescent="0.3">
      <c r="A5" s="14" t="s">
        <v>147</v>
      </c>
      <c r="B5" s="14" t="s">
        <v>148</v>
      </c>
      <c r="C5" s="15" t="s">
        <v>156</v>
      </c>
      <c r="D5" s="16" t="s">
        <v>157</v>
      </c>
      <c r="E5" s="17">
        <v>2</v>
      </c>
      <c r="F5" s="18" t="s">
        <v>82</v>
      </c>
      <c r="G5" s="16" t="s">
        <v>158</v>
      </c>
      <c r="H5" s="16" t="s">
        <v>155</v>
      </c>
    </row>
    <row r="6" spans="1:8" ht="18" customHeight="1" x14ac:dyDescent="0.3">
      <c r="A6" s="13" t="s">
        <v>159</v>
      </c>
      <c r="B6" s="13" t="s">
        <v>160</v>
      </c>
      <c r="C6" s="13"/>
      <c r="D6" s="13"/>
      <c r="E6" s="13"/>
      <c r="F6" s="13"/>
      <c r="G6" s="13"/>
      <c r="H6" s="13"/>
    </row>
    <row r="7" spans="1:8" ht="30" customHeight="1" x14ac:dyDescent="0.3">
      <c r="A7" s="14" t="s">
        <v>159</v>
      </c>
      <c r="B7" s="14" t="s">
        <v>160</v>
      </c>
      <c r="C7" s="15" t="s">
        <v>161</v>
      </c>
      <c r="D7" s="16" t="s">
        <v>162</v>
      </c>
      <c r="E7" s="22">
        <v>1</v>
      </c>
      <c r="F7" s="18" t="s">
        <v>82</v>
      </c>
      <c r="G7" s="16" t="s">
        <v>163</v>
      </c>
      <c r="H7" s="16" t="s">
        <v>164</v>
      </c>
    </row>
    <row r="8" spans="1:8" ht="30" customHeight="1" x14ac:dyDescent="0.3">
      <c r="A8" s="19" t="s">
        <v>159</v>
      </c>
      <c r="B8" s="19" t="s">
        <v>160</v>
      </c>
      <c r="C8" s="20" t="s">
        <v>165</v>
      </c>
      <c r="D8" s="21" t="s">
        <v>166</v>
      </c>
      <c r="E8" s="22">
        <v>1</v>
      </c>
      <c r="F8" s="18" t="s">
        <v>82</v>
      </c>
      <c r="G8" s="21" t="s">
        <v>167</v>
      </c>
      <c r="H8" s="21" t="s">
        <v>168</v>
      </c>
    </row>
    <row r="9" spans="1:8" ht="30" customHeight="1" x14ac:dyDescent="0.3">
      <c r="A9" s="14" t="s">
        <v>159</v>
      </c>
      <c r="B9" s="14" t="s">
        <v>160</v>
      </c>
      <c r="C9" s="15" t="s">
        <v>169</v>
      </c>
      <c r="D9" s="16" t="s">
        <v>170</v>
      </c>
      <c r="E9" s="17">
        <v>2</v>
      </c>
      <c r="F9" s="18" t="s">
        <v>82</v>
      </c>
      <c r="G9" s="16" t="s">
        <v>171</v>
      </c>
      <c r="H9" s="16" t="s">
        <v>172</v>
      </c>
    </row>
    <row r="10" spans="1:8" ht="18" customHeight="1" x14ac:dyDescent="0.3">
      <c r="A10" s="13" t="s">
        <v>173</v>
      </c>
      <c r="B10" s="13" t="s">
        <v>174</v>
      </c>
      <c r="C10" s="13"/>
      <c r="D10" s="13"/>
      <c r="E10" s="13"/>
      <c r="F10" s="13"/>
      <c r="G10" s="13"/>
      <c r="H10" s="13"/>
    </row>
    <row r="11" spans="1:8" ht="30" customHeight="1" x14ac:dyDescent="0.3">
      <c r="A11" s="14" t="s">
        <v>173</v>
      </c>
      <c r="B11" s="14" t="s">
        <v>174</v>
      </c>
      <c r="C11" s="15" t="s">
        <v>175</v>
      </c>
      <c r="D11" s="16" t="s">
        <v>176</v>
      </c>
      <c r="E11" s="22">
        <v>1</v>
      </c>
      <c r="F11" s="18" t="s">
        <v>82</v>
      </c>
      <c r="G11" s="16" t="s">
        <v>177</v>
      </c>
      <c r="H11" s="16" t="s">
        <v>178</v>
      </c>
    </row>
    <row r="12" spans="1:8" ht="30" customHeight="1" x14ac:dyDescent="0.3">
      <c r="A12" s="19" t="s">
        <v>173</v>
      </c>
      <c r="B12" s="19" t="s">
        <v>174</v>
      </c>
      <c r="C12" s="20" t="s">
        <v>179</v>
      </c>
      <c r="D12" s="21" t="s">
        <v>180</v>
      </c>
      <c r="E12" s="17">
        <v>2</v>
      </c>
      <c r="F12" s="18" t="s">
        <v>82</v>
      </c>
      <c r="G12" s="21" t="s">
        <v>181</v>
      </c>
      <c r="H12" s="21" t="s">
        <v>155</v>
      </c>
    </row>
    <row r="13" spans="1:8" ht="30" customHeight="1" x14ac:dyDescent="0.3">
      <c r="A13" s="14" t="s">
        <v>173</v>
      </c>
      <c r="B13" s="14" t="s">
        <v>174</v>
      </c>
      <c r="C13" s="15" t="s">
        <v>182</v>
      </c>
      <c r="D13" s="16" t="s">
        <v>183</v>
      </c>
      <c r="E13" s="17">
        <v>2</v>
      </c>
      <c r="F13" s="18" t="s">
        <v>82</v>
      </c>
      <c r="G13" s="16" t="s">
        <v>184</v>
      </c>
      <c r="H13" s="16" t="s">
        <v>185</v>
      </c>
    </row>
    <row r="14" spans="1:8" ht="30" customHeight="1" x14ac:dyDescent="0.3">
      <c r="A14" s="19" t="s">
        <v>173</v>
      </c>
      <c r="B14" s="19" t="s">
        <v>174</v>
      </c>
      <c r="C14" s="20" t="s">
        <v>186</v>
      </c>
      <c r="D14" s="21" t="s">
        <v>187</v>
      </c>
      <c r="E14" s="17">
        <v>2</v>
      </c>
      <c r="F14" s="18" t="s">
        <v>82</v>
      </c>
      <c r="G14" s="21" t="s">
        <v>188</v>
      </c>
      <c r="H14" s="21" t="s">
        <v>185</v>
      </c>
    </row>
    <row r="15" spans="1:8" ht="30" customHeight="1" x14ac:dyDescent="0.3">
      <c r="A15" s="14" t="s">
        <v>173</v>
      </c>
      <c r="B15" s="14" t="s">
        <v>174</v>
      </c>
      <c r="C15" s="15" t="s">
        <v>189</v>
      </c>
      <c r="D15" s="16" t="s">
        <v>190</v>
      </c>
      <c r="E15" s="23">
        <v>3</v>
      </c>
      <c r="F15" s="18" t="s">
        <v>72</v>
      </c>
      <c r="G15" s="16" t="s">
        <v>191</v>
      </c>
      <c r="H15" s="16"/>
    </row>
    <row r="16" spans="1:8" ht="18" customHeight="1" x14ac:dyDescent="0.3">
      <c r="A16" s="13" t="s">
        <v>192</v>
      </c>
      <c r="B16" s="13" t="s">
        <v>193</v>
      </c>
      <c r="C16" s="13"/>
      <c r="D16" s="13"/>
      <c r="E16" s="13"/>
      <c r="F16" s="13"/>
      <c r="G16" s="13"/>
      <c r="H16" s="13"/>
    </row>
    <row r="17" spans="1:8" ht="30" customHeight="1" x14ac:dyDescent="0.3">
      <c r="A17" s="14" t="s">
        <v>192</v>
      </c>
      <c r="B17" s="14" t="s">
        <v>193</v>
      </c>
      <c r="C17" s="15" t="s">
        <v>194</v>
      </c>
      <c r="D17" s="16" t="s">
        <v>195</v>
      </c>
      <c r="E17" s="17">
        <v>2</v>
      </c>
      <c r="F17" s="18" t="s">
        <v>82</v>
      </c>
      <c r="G17" s="16" t="s">
        <v>196</v>
      </c>
      <c r="H17" s="16" t="s">
        <v>168</v>
      </c>
    </row>
    <row r="18" spans="1:8" ht="30" customHeight="1" x14ac:dyDescent="0.3">
      <c r="A18" s="19" t="s">
        <v>192</v>
      </c>
      <c r="B18" s="19" t="s">
        <v>193</v>
      </c>
      <c r="C18" s="20" t="s">
        <v>197</v>
      </c>
      <c r="D18" s="21" t="s">
        <v>198</v>
      </c>
      <c r="E18" s="23">
        <v>3</v>
      </c>
      <c r="F18" s="18" t="s">
        <v>82</v>
      </c>
      <c r="G18" s="21" t="s">
        <v>199</v>
      </c>
      <c r="H18" s="21" t="s">
        <v>200</v>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2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zoomScale="94" zoomScaleNormal="75" workbookViewId="0">
      <pane ySplit="1" topLeftCell="A28" activePane="bottomLeft" state="frozen"/>
      <selection pane="bottomLeft" activeCell="G19" sqref="G19"/>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201</v>
      </c>
      <c r="B2" s="13" t="s">
        <v>202</v>
      </c>
      <c r="C2" s="13"/>
      <c r="D2" s="13"/>
      <c r="E2" s="13"/>
      <c r="F2" s="13"/>
      <c r="G2" s="13"/>
      <c r="H2" s="13"/>
    </row>
    <row r="3" spans="1:8" ht="30" customHeight="1" x14ac:dyDescent="0.3">
      <c r="A3" s="14" t="s">
        <v>201</v>
      </c>
      <c r="B3" s="14" t="s">
        <v>202</v>
      </c>
      <c r="C3" s="15" t="s">
        <v>203</v>
      </c>
      <c r="D3" s="16" t="s">
        <v>204</v>
      </c>
      <c r="E3" s="23">
        <v>3</v>
      </c>
      <c r="F3" s="18" t="s">
        <v>72</v>
      </c>
      <c r="G3" s="16" t="s">
        <v>205</v>
      </c>
      <c r="H3" s="16"/>
    </row>
    <row r="4" spans="1:8" ht="18" customHeight="1" x14ac:dyDescent="0.3">
      <c r="A4" s="13" t="s">
        <v>206</v>
      </c>
      <c r="B4" s="13" t="s">
        <v>207</v>
      </c>
      <c r="C4" s="13"/>
      <c r="D4" s="13"/>
      <c r="E4" s="13"/>
      <c r="F4" s="13"/>
      <c r="G4" s="13"/>
      <c r="H4" s="13"/>
    </row>
    <row r="5" spans="1:8" ht="30" customHeight="1" x14ac:dyDescent="0.3">
      <c r="A5" s="14" t="s">
        <v>206</v>
      </c>
      <c r="B5" s="14" t="s">
        <v>207</v>
      </c>
      <c r="C5" s="15" t="s">
        <v>208</v>
      </c>
      <c r="D5" s="16" t="s">
        <v>209</v>
      </c>
      <c r="E5" s="22">
        <v>1</v>
      </c>
      <c r="F5" s="18" t="s">
        <v>72</v>
      </c>
      <c r="G5" s="16" t="s">
        <v>205</v>
      </c>
      <c r="H5" s="16"/>
    </row>
    <row r="6" spans="1:8" ht="30" customHeight="1" x14ac:dyDescent="0.3">
      <c r="A6" s="19" t="s">
        <v>206</v>
      </c>
      <c r="B6" s="19" t="s">
        <v>207</v>
      </c>
      <c r="C6" s="20" t="s">
        <v>210</v>
      </c>
      <c r="D6" s="21" t="s">
        <v>211</v>
      </c>
      <c r="E6" s="22">
        <v>1</v>
      </c>
      <c r="F6" s="18" t="s">
        <v>72</v>
      </c>
      <c r="G6" s="21" t="s">
        <v>205</v>
      </c>
      <c r="H6" s="21"/>
    </row>
    <row r="7" spans="1:8" ht="30" customHeight="1" x14ac:dyDescent="0.3">
      <c r="A7" s="14" t="s">
        <v>206</v>
      </c>
      <c r="B7" s="14" t="s">
        <v>207</v>
      </c>
      <c r="C7" s="15" t="s">
        <v>212</v>
      </c>
      <c r="D7" s="16" t="s">
        <v>213</v>
      </c>
      <c r="E7" s="23">
        <v>3</v>
      </c>
      <c r="F7" s="18" t="s">
        <v>72</v>
      </c>
      <c r="G7" s="16" t="s">
        <v>205</v>
      </c>
      <c r="H7" s="16"/>
    </row>
    <row r="8" spans="1:8" ht="18" customHeight="1" x14ac:dyDescent="0.3">
      <c r="A8" s="13" t="s">
        <v>214</v>
      </c>
      <c r="B8" s="13" t="s">
        <v>215</v>
      </c>
      <c r="C8" s="13"/>
      <c r="D8" s="13"/>
      <c r="E8" s="13"/>
      <c r="F8" s="13"/>
      <c r="G8" s="13"/>
      <c r="H8" s="13"/>
    </row>
    <row r="9" spans="1:8" ht="30" customHeight="1" x14ac:dyDescent="0.3">
      <c r="A9" s="14" t="s">
        <v>214</v>
      </c>
      <c r="B9" s="14" t="s">
        <v>215</v>
      </c>
      <c r="C9" s="15" t="s">
        <v>216</v>
      </c>
      <c r="D9" s="16" t="s">
        <v>217</v>
      </c>
      <c r="E9" s="22">
        <v>1</v>
      </c>
      <c r="F9" s="18" t="s">
        <v>82</v>
      </c>
      <c r="G9" s="16" t="s">
        <v>1163</v>
      </c>
      <c r="H9" s="26" t="s">
        <v>218</v>
      </c>
    </row>
    <row r="10" spans="1:8" ht="30" customHeight="1" x14ac:dyDescent="0.3">
      <c r="A10" s="19" t="s">
        <v>214</v>
      </c>
      <c r="B10" s="19" t="s">
        <v>215</v>
      </c>
      <c r="C10" s="20" t="s">
        <v>219</v>
      </c>
      <c r="D10" s="21" t="s">
        <v>220</v>
      </c>
      <c r="E10" s="17">
        <v>2</v>
      </c>
      <c r="F10" s="18" t="s">
        <v>82</v>
      </c>
      <c r="G10" s="21" t="s">
        <v>1164</v>
      </c>
      <c r="H10" s="24" t="s">
        <v>221</v>
      </c>
    </row>
    <row r="11" spans="1:8" ht="30" customHeight="1" x14ac:dyDescent="0.3">
      <c r="A11" s="14" t="s">
        <v>214</v>
      </c>
      <c r="B11" s="14" t="s">
        <v>215</v>
      </c>
      <c r="C11" s="15" t="s">
        <v>222</v>
      </c>
      <c r="D11" s="16" t="s">
        <v>223</v>
      </c>
      <c r="E11" s="17">
        <v>2</v>
      </c>
      <c r="F11" s="18" t="s">
        <v>82</v>
      </c>
      <c r="G11" s="16" t="s">
        <v>1165</v>
      </c>
      <c r="H11" s="26" t="s">
        <v>224</v>
      </c>
    </row>
    <row r="12" spans="1:8" ht="30" customHeight="1" x14ac:dyDescent="0.3">
      <c r="A12" s="19" t="s">
        <v>214</v>
      </c>
      <c r="B12" s="19" t="s">
        <v>215</v>
      </c>
      <c r="C12" s="20" t="s">
        <v>225</v>
      </c>
      <c r="D12" s="21" t="s">
        <v>226</v>
      </c>
      <c r="E12" s="17">
        <v>2</v>
      </c>
      <c r="F12" s="18" t="s">
        <v>82</v>
      </c>
      <c r="G12" s="21" t="s">
        <v>1166</v>
      </c>
      <c r="H12" s="24" t="s">
        <v>218</v>
      </c>
    </row>
    <row r="13" spans="1:8" ht="30" customHeight="1" x14ac:dyDescent="0.3">
      <c r="A13" s="14" t="s">
        <v>214</v>
      </c>
      <c r="B13" s="14" t="s">
        <v>215</v>
      </c>
      <c r="C13" s="15" t="s">
        <v>227</v>
      </c>
      <c r="D13" s="16" t="s">
        <v>228</v>
      </c>
      <c r="E13" s="23">
        <v>3</v>
      </c>
      <c r="F13" s="18" t="s">
        <v>82</v>
      </c>
      <c r="G13" s="16" t="s">
        <v>1167</v>
      </c>
      <c r="H13" s="26" t="s">
        <v>229</v>
      </c>
    </row>
    <row r="14" spans="1:8" ht="18" customHeight="1" x14ac:dyDescent="0.3">
      <c r="A14" s="13" t="s">
        <v>230</v>
      </c>
      <c r="B14" s="13" t="s">
        <v>231</v>
      </c>
      <c r="C14" s="13"/>
      <c r="D14" s="13"/>
      <c r="E14" s="13"/>
      <c r="F14" s="13"/>
      <c r="G14" s="13"/>
      <c r="H14" s="13"/>
    </row>
    <row r="15" spans="1:8" ht="30" customHeight="1" x14ac:dyDescent="0.3">
      <c r="A15" s="14" t="s">
        <v>230</v>
      </c>
      <c r="B15" s="14" t="s">
        <v>231</v>
      </c>
      <c r="C15" s="15" t="s">
        <v>232</v>
      </c>
      <c r="D15" s="16" t="s">
        <v>233</v>
      </c>
      <c r="E15" s="22">
        <v>1</v>
      </c>
      <c r="F15" s="18" t="s">
        <v>82</v>
      </c>
      <c r="G15" s="16" t="s">
        <v>234</v>
      </c>
      <c r="H15" s="16" t="s">
        <v>168</v>
      </c>
    </row>
    <row r="16" spans="1:8" ht="30" customHeight="1" x14ac:dyDescent="0.3">
      <c r="A16" s="19" t="s">
        <v>230</v>
      </c>
      <c r="B16" s="19" t="s">
        <v>231</v>
      </c>
      <c r="C16" s="20" t="s">
        <v>235</v>
      </c>
      <c r="D16" s="21" t="s">
        <v>236</v>
      </c>
      <c r="E16" s="22">
        <v>1</v>
      </c>
      <c r="F16" s="18" t="s">
        <v>82</v>
      </c>
      <c r="G16" s="21" t="s">
        <v>237</v>
      </c>
      <c r="H16" s="21" t="s">
        <v>168</v>
      </c>
    </row>
    <row r="17" spans="1:8" ht="30" customHeight="1" x14ac:dyDescent="0.3">
      <c r="A17" s="14" t="s">
        <v>230</v>
      </c>
      <c r="B17" s="14" t="s">
        <v>231</v>
      </c>
      <c r="C17" s="15" t="s">
        <v>238</v>
      </c>
      <c r="D17" s="16" t="s">
        <v>239</v>
      </c>
      <c r="E17" s="17">
        <v>2</v>
      </c>
      <c r="F17" s="18" t="s">
        <v>72</v>
      </c>
      <c r="G17" s="16" t="s">
        <v>205</v>
      </c>
      <c r="H17" s="16"/>
    </row>
    <row r="18" spans="1:8" ht="30" customHeight="1" x14ac:dyDescent="0.3">
      <c r="A18" s="19" t="s">
        <v>230</v>
      </c>
      <c r="B18" s="19" t="s">
        <v>231</v>
      </c>
      <c r="C18" s="20" t="s">
        <v>240</v>
      </c>
      <c r="D18" s="21" t="s">
        <v>241</v>
      </c>
      <c r="E18" s="17">
        <v>2</v>
      </c>
      <c r="F18" s="18" t="s">
        <v>82</v>
      </c>
      <c r="G18" s="21" t="s">
        <v>1168</v>
      </c>
      <c r="H18" s="21" t="s">
        <v>242</v>
      </c>
    </row>
    <row r="19" spans="1:8" ht="30" customHeight="1" x14ac:dyDescent="0.3">
      <c r="A19" s="14" t="s">
        <v>230</v>
      </c>
      <c r="B19" s="14" t="s">
        <v>231</v>
      </c>
      <c r="C19" s="15" t="s">
        <v>243</v>
      </c>
      <c r="D19" s="16" t="s">
        <v>244</v>
      </c>
      <c r="E19" s="17">
        <v>2</v>
      </c>
      <c r="F19" s="18" t="s">
        <v>82</v>
      </c>
      <c r="G19" s="16" t="s">
        <v>245</v>
      </c>
      <c r="H19" s="16" t="s">
        <v>242</v>
      </c>
    </row>
    <row r="20" spans="1:8" ht="30" customHeight="1" x14ac:dyDescent="0.3">
      <c r="A20" s="19" t="s">
        <v>230</v>
      </c>
      <c r="B20" s="19" t="s">
        <v>231</v>
      </c>
      <c r="C20" s="20" t="s">
        <v>246</v>
      </c>
      <c r="D20" s="21" t="s">
        <v>247</v>
      </c>
      <c r="E20" s="17">
        <v>2</v>
      </c>
      <c r="F20" s="18" t="s">
        <v>72</v>
      </c>
      <c r="G20" s="21" t="s">
        <v>205</v>
      </c>
      <c r="H20" s="21"/>
    </row>
    <row r="21" spans="1:8" ht="30" customHeight="1" x14ac:dyDescent="0.3">
      <c r="A21" s="14" t="s">
        <v>230</v>
      </c>
      <c r="B21" s="14" t="s">
        <v>231</v>
      </c>
      <c r="C21" s="15" t="s">
        <v>248</v>
      </c>
      <c r="D21" s="16" t="s">
        <v>249</v>
      </c>
      <c r="E21" s="23">
        <v>3</v>
      </c>
      <c r="F21" s="18" t="s">
        <v>72</v>
      </c>
      <c r="G21" s="16" t="s">
        <v>205</v>
      </c>
      <c r="H21" s="16"/>
    </row>
    <row r="22" spans="1:8" ht="30" customHeight="1" x14ac:dyDescent="0.3">
      <c r="A22" s="19" t="s">
        <v>230</v>
      </c>
      <c r="B22" s="19" t="s">
        <v>231</v>
      </c>
      <c r="C22" s="20" t="s">
        <v>250</v>
      </c>
      <c r="D22" s="21" t="s">
        <v>251</v>
      </c>
      <c r="E22" s="23">
        <v>3</v>
      </c>
      <c r="F22" s="18" t="s">
        <v>72</v>
      </c>
      <c r="G22" s="21" t="s">
        <v>205</v>
      </c>
      <c r="H22" s="21"/>
    </row>
    <row r="23" spans="1:8" ht="18" customHeight="1" x14ac:dyDescent="0.3">
      <c r="A23" s="13" t="s">
        <v>252</v>
      </c>
      <c r="B23" s="13" t="s">
        <v>253</v>
      </c>
      <c r="C23" s="13"/>
      <c r="D23" s="13"/>
      <c r="E23" s="13"/>
      <c r="F23" s="13"/>
      <c r="G23" s="13"/>
      <c r="H23" s="13"/>
    </row>
    <row r="24" spans="1:8" ht="30" customHeight="1" x14ac:dyDescent="0.3">
      <c r="A24" s="14" t="s">
        <v>252</v>
      </c>
      <c r="B24" s="14" t="s">
        <v>253</v>
      </c>
      <c r="C24" s="15" t="s">
        <v>254</v>
      </c>
      <c r="D24" s="16" t="s">
        <v>255</v>
      </c>
      <c r="E24" s="22">
        <v>1</v>
      </c>
      <c r="F24" s="18" t="s">
        <v>72</v>
      </c>
      <c r="G24" s="16" t="s">
        <v>256</v>
      </c>
      <c r="H24" s="16" t="s">
        <v>257</v>
      </c>
    </row>
    <row r="25" spans="1:8" ht="30" customHeight="1" x14ac:dyDescent="0.3">
      <c r="A25" s="19" t="s">
        <v>252</v>
      </c>
      <c r="B25" s="19" t="s">
        <v>253</v>
      </c>
      <c r="C25" s="20" t="s">
        <v>258</v>
      </c>
      <c r="D25" s="21" t="s">
        <v>259</v>
      </c>
      <c r="E25" s="22">
        <v>1</v>
      </c>
      <c r="F25" s="18" t="s">
        <v>82</v>
      </c>
      <c r="G25" s="21" t="s">
        <v>260</v>
      </c>
      <c r="H25" s="21" t="s">
        <v>261</v>
      </c>
    </row>
    <row r="26" spans="1:8" ht="30" customHeight="1" x14ac:dyDescent="0.3">
      <c r="A26" s="14" t="s">
        <v>252</v>
      </c>
      <c r="B26" s="14" t="s">
        <v>253</v>
      </c>
      <c r="C26" s="15" t="s">
        <v>262</v>
      </c>
      <c r="D26" s="16" t="s">
        <v>263</v>
      </c>
      <c r="E26" s="22">
        <v>1</v>
      </c>
      <c r="F26" s="18" t="s">
        <v>82</v>
      </c>
      <c r="G26" s="16" t="s">
        <v>264</v>
      </c>
      <c r="H26" s="16" t="s">
        <v>265</v>
      </c>
    </row>
    <row r="27" spans="1:8" ht="30" customHeight="1" x14ac:dyDescent="0.3">
      <c r="A27" s="19" t="s">
        <v>252</v>
      </c>
      <c r="B27" s="19" t="s">
        <v>253</v>
      </c>
      <c r="C27" s="20" t="s">
        <v>266</v>
      </c>
      <c r="D27" s="21" t="s">
        <v>267</v>
      </c>
      <c r="E27" s="17">
        <v>2</v>
      </c>
      <c r="F27" s="18" t="s">
        <v>82</v>
      </c>
      <c r="G27" s="21" t="s">
        <v>268</v>
      </c>
      <c r="H27" s="21" t="s">
        <v>269</v>
      </c>
    </row>
    <row r="28" spans="1:8" ht="30" customHeight="1" x14ac:dyDescent="0.3">
      <c r="A28" s="14" t="s">
        <v>252</v>
      </c>
      <c r="B28" s="14" t="s">
        <v>253</v>
      </c>
      <c r="C28" s="15" t="s">
        <v>270</v>
      </c>
      <c r="D28" s="16" t="s">
        <v>271</v>
      </c>
      <c r="E28" s="17">
        <v>2</v>
      </c>
      <c r="F28" s="18" t="s">
        <v>72</v>
      </c>
      <c r="G28" s="16" t="s">
        <v>205</v>
      </c>
      <c r="H28" s="16"/>
    </row>
    <row r="29" spans="1:8" ht="30" customHeight="1" x14ac:dyDescent="0.3">
      <c r="A29" s="19" t="s">
        <v>252</v>
      </c>
      <c r="B29" s="19" t="s">
        <v>253</v>
      </c>
      <c r="C29" s="20" t="s">
        <v>272</v>
      </c>
      <c r="D29" s="21" t="s">
        <v>273</v>
      </c>
      <c r="E29" s="23">
        <v>3</v>
      </c>
      <c r="F29" s="18" t="s">
        <v>72</v>
      </c>
      <c r="G29" s="21" t="s">
        <v>205</v>
      </c>
      <c r="H29" s="21"/>
    </row>
    <row r="30" spans="1:8" ht="30" customHeight="1" x14ac:dyDescent="0.3">
      <c r="A30" s="14" t="s">
        <v>252</v>
      </c>
      <c r="B30" s="14" t="s">
        <v>253</v>
      </c>
      <c r="C30" s="15" t="s">
        <v>274</v>
      </c>
      <c r="D30" s="16" t="s">
        <v>275</v>
      </c>
      <c r="E30" s="23">
        <v>3</v>
      </c>
      <c r="F30" s="18" t="s">
        <v>72</v>
      </c>
      <c r="G30" s="16" t="s">
        <v>205</v>
      </c>
      <c r="H30" s="16"/>
    </row>
    <row r="31" spans="1:8" ht="30" customHeight="1" x14ac:dyDescent="0.3">
      <c r="A31" s="19" t="s">
        <v>252</v>
      </c>
      <c r="B31" s="19" t="s">
        <v>253</v>
      </c>
      <c r="C31" s="20" t="s">
        <v>276</v>
      </c>
      <c r="D31" s="21" t="s">
        <v>277</v>
      </c>
      <c r="E31" s="23">
        <v>3</v>
      </c>
      <c r="F31" s="18" t="s">
        <v>72</v>
      </c>
      <c r="G31" s="21" t="s">
        <v>205</v>
      </c>
      <c r="H31" s="21"/>
    </row>
    <row r="32" spans="1:8" ht="18" customHeight="1" x14ac:dyDescent="0.3">
      <c r="A32" s="13" t="s">
        <v>278</v>
      </c>
      <c r="B32" s="13" t="s">
        <v>279</v>
      </c>
      <c r="C32" s="13"/>
      <c r="D32" s="13"/>
      <c r="E32" s="13"/>
      <c r="F32" s="13"/>
      <c r="G32" s="13"/>
      <c r="H32" s="13"/>
    </row>
    <row r="33" spans="1:8" ht="30" customHeight="1" x14ac:dyDescent="0.3">
      <c r="A33" s="14" t="s">
        <v>278</v>
      </c>
      <c r="B33" s="14" t="s">
        <v>279</v>
      </c>
      <c r="C33" s="15" t="s">
        <v>280</v>
      </c>
      <c r="D33" s="16" t="s">
        <v>281</v>
      </c>
      <c r="E33" s="23">
        <v>3</v>
      </c>
      <c r="F33" s="18" t="s">
        <v>72</v>
      </c>
      <c r="G33" s="16" t="s">
        <v>205</v>
      </c>
      <c r="H33" s="16"/>
    </row>
    <row r="34" spans="1:8" ht="18" customHeight="1" x14ac:dyDescent="0.3">
      <c r="A34" s="13" t="s">
        <v>282</v>
      </c>
      <c r="B34" s="13" t="s">
        <v>283</v>
      </c>
      <c r="C34" s="13"/>
      <c r="D34" s="13"/>
      <c r="E34" s="13"/>
      <c r="F34" s="13"/>
      <c r="G34" s="13"/>
      <c r="H34" s="13"/>
    </row>
    <row r="35" spans="1:8" ht="30" customHeight="1" x14ac:dyDescent="0.3">
      <c r="A35" s="14" t="s">
        <v>282</v>
      </c>
      <c r="B35" s="14" t="s">
        <v>283</v>
      </c>
      <c r="C35" s="15" t="s">
        <v>284</v>
      </c>
      <c r="D35" s="16" t="s">
        <v>285</v>
      </c>
      <c r="E35" s="17">
        <v>2</v>
      </c>
      <c r="F35" s="18" t="s">
        <v>72</v>
      </c>
      <c r="G35" s="16" t="s">
        <v>205</v>
      </c>
      <c r="H35" s="16"/>
    </row>
    <row r="36" spans="1:8" ht="30" customHeight="1" x14ac:dyDescent="0.3">
      <c r="A36" s="19" t="s">
        <v>282</v>
      </c>
      <c r="B36" s="19" t="s">
        <v>283</v>
      </c>
      <c r="C36" s="20" t="s">
        <v>286</v>
      </c>
      <c r="D36" s="21" t="s">
        <v>287</v>
      </c>
      <c r="E36" s="17">
        <v>2</v>
      </c>
      <c r="F36" s="18" t="s">
        <v>72</v>
      </c>
      <c r="G36" s="21" t="s">
        <v>205</v>
      </c>
      <c r="H36" s="21"/>
    </row>
    <row r="37" spans="1:8" ht="30" customHeight="1" x14ac:dyDescent="0.3">
      <c r="A37" s="14" t="s">
        <v>282</v>
      </c>
      <c r="B37" s="14" t="s">
        <v>283</v>
      </c>
      <c r="C37" s="15" t="s">
        <v>288</v>
      </c>
      <c r="D37" s="16" t="s">
        <v>289</v>
      </c>
      <c r="E37" s="23">
        <v>3</v>
      </c>
      <c r="F37" s="18" t="s">
        <v>72</v>
      </c>
      <c r="G37" s="16" t="s">
        <v>205</v>
      </c>
      <c r="H37" s="16"/>
    </row>
    <row r="38" spans="1:8" ht="30" customHeight="1" x14ac:dyDescent="0.3">
      <c r="A38" s="19" t="s">
        <v>282</v>
      </c>
      <c r="B38" s="19" t="s">
        <v>283</v>
      </c>
      <c r="C38" s="20" t="s">
        <v>290</v>
      </c>
      <c r="D38" s="21" t="s">
        <v>291</v>
      </c>
      <c r="E38" s="23">
        <v>3</v>
      </c>
      <c r="F38" s="18" t="s">
        <v>72</v>
      </c>
      <c r="G38" s="21" t="s">
        <v>205</v>
      </c>
      <c r="H38" s="21"/>
    </row>
    <row r="39" spans="1:8" ht="30" customHeight="1" x14ac:dyDescent="0.3">
      <c r="A39" s="14" t="s">
        <v>282</v>
      </c>
      <c r="B39" s="14" t="s">
        <v>283</v>
      </c>
      <c r="C39" s="15" t="s">
        <v>292</v>
      </c>
      <c r="D39" s="16" t="s">
        <v>293</v>
      </c>
      <c r="E39" s="23">
        <v>3</v>
      </c>
      <c r="F39" s="18" t="s">
        <v>72</v>
      </c>
      <c r="G39" s="16" t="s">
        <v>205</v>
      </c>
      <c r="H39" s="16"/>
    </row>
  </sheetData>
  <conditionalFormatting sqref="F2:F39">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9" xr:uid="{00000000-0002-0000-0300-000000000000}">
      <formula1>"Not Started,In Progress,Compliant,Not Applicable"</formula1>
      <formula2>0</formula2>
    </dataValidation>
  </dataValidations>
  <hyperlinks>
    <hyperlink ref="H9" r:id="rId1" xr:uid="{00000000-0004-0000-0300-000000000000}"/>
    <hyperlink ref="H10" r:id="rId2" xr:uid="{00000000-0004-0000-0300-000001000000}"/>
    <hyperlink ref="H11" r:id="rId3" xr:uid="{00000000-0004-0000-0300-000002000000}"/>
    <hyperlink ref="H12" r:id="rId4" xr:uid="{00000000-0004-0000-0300-000003000000}"/>
    <hyperlink ref="H13" r:id="rId5" xr:uid="{00000000-0004-0000-0300-000004000000}"/>
  </hyperlinks>
  <pageMargins left="0.75" right="0.75" top="1" bottom="1" header="0.51180555555555496" footer="0.51180555555555496"/>
  <pageSetup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zoomScale="93" zoomScaleNormal="75" workbookViewId="0">
      <pane ySplit="1" topLeftCell="A8" activePane="bottomLeft" state="frozen"/>
      <selection pane="bottomLeft" activeCell="G13" sqref="G13"/>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294</v>
      </c>
      <c r="B2" s="13" t="s">
        <v>295</v>
      </c>
      <c r="C2" s="13"/>
      <c r="D2" s="13"/>
      <c r="E2" s="13"/>
      <c r="F2" s="13"/>
      <c r="G2" s="13"/>
      <c r="H2" s="13"/>
    </row>
    <row r="3" spans="1:8" ht="30" customHeight="1" x14ac:dyDescent="0.3">
      <c r="A3" s="14" t="s">
        <v>294</v>
      </c>
      <c r="B3" s="14" t="s">
        <v>295</v>
      </c>
      <c r="C3" s="15" t="s">
        <v>296</v>
      </c>
      <c r="D3" s="16" t="s">
        <v>297</v>
      </c>
      <c r="E3" s="22">
        <v>1</v>
      </c>
      <c r="F3" s="18" t="s">
        <v>82</v>
      </c>
      <c r="G3" s="16" t="s">
        <v>298</v>
      </c>
      <c r="H3" s="16" t="s">
        <v>168</v>
      </c>
    </row>
    <row r="4" spans="1:8" ht="30" customHeight="1" x14ac:dyDescent="0.3">
      <c r="A4" s="19" t="s">
        <v>294</v>
      </c>
      <c r="B4" s="19" t="s">
        <v>295</v>
      </c>
      <c r="C4" s="20" t="s">
        <v>299</v>
      </c>
      <c r="D4" s="21" t="s">
        <v>300</v>
      </c>
      <c r="E4" s="17">
        <v>2</v>
      </c>
      <c r="F4" s="18" t="s">
        <v>82</v>
      </c>
      <c r="G4" s="21" t="s">
        <v>301</v>
      </c>
      <c r="H4" s="21" t="s">
        <v>168</v>
      </c>
    </row>
    <row r="5" spans="1:8" ht="30" customHeight="1" x14ac:dyDescent="0.3">
      <c r="A5" s="14" t="s">
        <v>294</v>
      </c>
      <c r="B5" s="14" t="s">
        <v>295</v>
      </c>
      <c r="C5" s="15" t="s">
        <v>302</v>
      </c>
      <c r="D5" s="16" t="s">
        <v>303</v>
      </c>
      <c r="E5" s="17">
        <v>2</v>
      </c>
      <c r="F5" s="18" t="s">
        <v>82</v>
      </c>
      <c r="G5" s="16" t="s">
        <v>304</v>
      </c>
      <c r="H5" s="16" t="s">
        <v>84</v>
      </c>
    </row>
    <row r="6" spans="1:8" ht="30" customHeight="1" x14ac:dyDescent="0.3">
      <c r="A6" s="19" t="s">
        <v>294</v>
      </c>
      <c r="B6" s="19" t="s">
        <v>295</v>
      </c>
      <c r="C6" s="20" t="s">
        <v>305</v>
      </c>
      <c r="D6" s="21" t="s">
        <v>306</v>
      </c>
      <c r="E6" s="23">
        <v>3</v>
      </c>
      <c r="F6" s="18" t="s">
        <v>82</v>
      </c>
      <c r="G6" s="21" t="s">
        <v>307</v>
      </c>
      <c r="H6" s="21" t="s">
        <v>133</v>
      </c>
    </row>
    <row r="7" spans="1:8" ht="30" customHeight="1" x14ac:dyDescent="0.3">
      <c r="A7" s="14" t="s">
        <v>294</v>
      </c>
      <c r="B7" s="14" t="s">
        <v>295</v>
      </c>
      <c r="C7" s="15" t="s">
        <v>308</v>
      </c>
      <c r="D7" s="16" t="s">
        <v>309</v>
      </c>
      <c r="E7" s="23">
        <v>3</v>
      </c>
      <c r="F7" s="18" t="s">
        <v>72</v>
      </c>
      <c r="G7" s="16" t="s">
        <v>310</v>
      </c>
      <c r="H7" s="16"/>
    </row>
    <row r="8" spans="1:8" ht="18" customHeight="1" x14ac:dyDescent="0.3">
      <c r="A8" s="13" t="s">
        <v>311</v>
      </c>
      <c r="B8" s="13" t="s">
        <v>312</v>
      </c>
      <c r="C8" s="13"/>
      <c r="D8" s="13"/>
      <c r="E8" s="13"/>
      <c r="F8" s="13"/>
      <c r="G8" s="13"/>
      <c r="H8" s="13"/>
    </row>
    <row r="9" spans="1:8" ht="30" customHeight="1" x14ac:dyDescent="0.3">
      <c r="A9" s="14" t="s">
        <v>311</v>
      </c>
      <c r="B9" s="14" t="s">
        <v>312</v>
      </c>
      <c r="C9" s="15" t="s">
        <v>313</v>
      </c>
      <c r="D9" s="16" t="s">
        <v>314</v>
      </c>
      <c r="E9" s="17">
        <v>2</v>
      </c>
      <c r="F9" s="18" t="s">
        <v>82</v>
      </c>
      <c r="G9" s="16" t="s">
        <v>315</v>
      </c>
      <c r="H9" s="16" t="s">
        <v>185</v>
      </c>
    </row>
    <row r="10" spans="1:8" ht="30" customHeight="1" x14ac:dyDescent="0.3">
      <c r="A10" s="19" t="s">
        <v>311</v>
      </c>
      <c r="B10" s="19" t="s">
        <v>312</v>
      </c>
      <c r="C10" s="20" t="s">
        <v>316</v>
      </c>
      <c r="D10" s="21" t="s">
        <v>317</v>
      </c>
      <c r="E10" s="23">
        <v>3</v>
      </c>
      <c r="F10" s="18" t="s">
        <v>82</v>
      </c>
      <c r="G10" s="21" t="s">
        <v>318</v>
      </c>
      <c r="H10" s="21" t="s">
        <v>168</v>
      </c>
    </row>
    <row r="11" spans="1:8" ht="30" customHeight="1" x14ac:dyDescent="0.3">
      <c r="A11" s="14" t="s">
        <v>311</v>
      </c>
      <c r="B11" s="14" t="s">
        <v>312</v>
      </c>
      <c r="C11" s="15" t="s">
        <v>319</v>
      </c>
      <c r="D11" s="16" t="s">
        <v>320</v>
      </c>
      <c r="E11" s="23">
        <v>3</v>
      </c>
      <c r="F11" s="18" t="s">
        <v>82</v>
      </c>
      <c r="G11" s="16" t="s">
        <v>321</v>
      </c>
      <c r="H11" s="16" t="s">
        <v>185</v>
      </c>
    </row>
    <row r="12" spans="1:8" ht="30" customHeight="1" x14ac:dyDescent="0.3">
      <c r="A12" s="19" t="s">
        <v>311</v>
      </c>
      <c r="B12" s="19" t="s">
        <v>312</v>
      </c>
      <c r="C12" s="20" t="s">
        <v>322</v>
      </c>
      <c r="D12" s="21" t="s">
        <v>323</v>
      </c>
      <c r="E12" s="23">
        <v>3</v>
      </c>
      <c r="F12" s="18" t="s">
        <v>82</v>
      </c>
      <c r="G12" s="21" t="s">
        <v>324</v>
      </c>
      <c r="H12" s="21" t="s">
        <v>325</v>
      </c>
    </row>
    <row r="13" spans="1:8" ht="30" customHeight="1" x14ac:dyDescent="0.3">
      <c r="A13" s="14" t="s">
        <v>311</v>
      </c>
      <c r="B13" s="14" t="s">
        <v>312</v>
      </c>
      <c r="C13" s="15" t="s">
        <v>326</v>
      </c>
      <c r="D13" s="16" t="s">
        <v>327</v>
      </c>
      <c r="E13" s="23">
        <v>3</v>
      </c>
      <c r="F13" s="18" t="s">
        <v>82</v>
      </c>
      <c r="G13" s="16" t="s">
        <v>328</v>
      </c>
      <c r="H13" s="16" t="s">
        <v>69</v>
      </c>
    </row>
    <row r="14" spans="1:8" ht="18" customHeight="1" x14ac:dyDescent="0.3">
      <c r="A14" s="13" t="s">
        <v>329</v>
      </c>
      <c r="B14" s="13" t="s">
        <v>330</v>
      </c>
      <c r="C14" s="13"/>
      <c r="D14" s="13"/>
      <c r="E14" s="13"/>
      <c r="F14" s="13"/>
      <c r="G14" s="13"/>
      <c r="H14" s="13"/>
    </row>
    <row r="15" spans="1:8" ht="30" customHeight="1" x14ac:dyDescent="0.3">
      <c r="A15" s="14" t="s">
        <v>329</v>
      </c>
      <c r="B15" s="14" t="s">
        <v>330</v>
      </c>
      <c r="C15" s="15" t="s">
        <v>331</v>
      </c>
      <c r="D15" s="16" t="s">
        <v>332</v>
      </c>
      <c r="E15" s="17">
        <v>2</v>
      </c>
      <c r="F15" s="18" t="s">
        <v>72</v>
      </c>
      <c r="G15" s="16" t="s">
        <v>333</v>
      </c>
      <c r="H15" s="16"/>
    </row>
    <row r="16" spans="1:8" ht="30" customHeight="1" x14ac:dyDescent="0.3">
      <c r="A16" s="19" t="s">
        <v>329</v>
      </c>
      <c r="B16" s="19" t="s">
        <v>330</v>
      </c>
      <c r="C16" s="20" t="s">
        <v>334</v>
      </c>
      <c r="D16" s="21" t="s">
        <v>335</v>
      </c>
      <c r="E16" s="17">
        <v>2</v>
      </c>
      <c r="F16" s="18" t="s">
        <v>72</v>
      </c>
      <c r="G16" s="21" t="s">
        <v>336</v>
      </c>
      <c r="H16" s="21"/>
    </row>
    <row r="17" spans="1:8" ht="18" customHeight="1" x14ac:dyDescent="0.3">
      <c r="A17" s="13" t="s">
        <v>337</v>
      </c>
      <c r="B17" s="13" t="s">
        <v>338</v>
      </c>
      <c r="C17" s="13"/>
      <c r="D17" s="13"/>
      <c r="E17" s="13"/>
      <c r="F17" s="13"/>
      <c r="G17" s="13"/>
      <c r="H17" s="13"/>
    </row>
    <row r="18" spans="1:8" ht="30" customHeight="1" x14ac:dyDescent="0.3">
      <c r="A18" s="14" t="s">
        <v>337</v>
      </c>
      <c r="B18" s="14" t="s">
        <v>338</v>
      </c>
      <c r="C18" s="15" t="s">
        <v>339</v>
      </c>
      <c r="D18" s="16" t="s">
        <v>340</v>
      </c>
      <c r="E18" s="22">
        <v>1</v>
      </c>
      <c r="F18" s="18" t="s">
        <v>72</v>
      </c>
      <c r="G18" s="16" t="s">
        <v>341</v>
      </c>
      <c r="H18" s="16"/>
    </row>
    <row r="19" spans="1:8" ht="30" customHeight="1" x14ac:dyDescent="0.3">
      <c r="A19" s="19" t="s">
        <v>337</v>
      </c>
      <c r="B19" s="19" t="s">
        <v>338</v>
      </c>
      <c r="C19" s="20" t="s">
        <v>342</v>
      </c>
      <c r="D19" s="21" t="s">
        <v>343</v>
      </c>
      <c r="E19" s="17">
        <v>2</v>
      </c>
      <c r="F19" s="18" t="s">
        <v>72</v>
      </c>
      <c r="G19" s="21" t="s">
        <v>344</v>
      </c>
      <c r="H19" s="21"/>
    </row>
    <row r="20" spans="1:8" ht="30" customHeight="1" x14ac:dyDescent="0.3">
      <c r="A20" s="14" t="s">
        <v>337</v>
      </c>
      <c r="B20" s="14" t="s">
        <v>338</v>
      </c>
      <c r="C20" s="15" t="s">
        <v>345</v>
      </c>
      <c r="D20" s="16" t="s">
        <v>346</v>
      </c>
      <c r="E20" s="17">
        <v>2</v>
      </c>
      <c r="F20" s="18" t="s">
        <v>72</v>
      </c>
      <c r="G20" s="16" t="s">
        <v>347</v>
      </c>
      <c r="H20" s="16"/>
    </row>
    <row r="21" spans="1:8" ht="30" customHeight="1" x14ac:dyDescent="0.3">
      <c r="A21" s="19" t="s">
        <v>337</v>
      </c>
      <c r="B21" s="19" t="s">
        <v>338</v>
      </c>
      <c r="C21" s="20" t="s">
        <v>348</v>
      </c>
      <c r="D21" s="21" t="s">
        <v>349</v>
      </c>
      <c r="E21" s="17">
        <v>2</v>
      </c>
      <c r="F21" s="18" t="s">
        <v>72</v>
      </c>
      <c r="G21" s="21" t="s">
        <v>350</v>
      </c>
      <c r="H21" s="21"/>
    </row>
  </sheetData>
  <conditionalFormatting sqref="F2:F21">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1" xr:uid="{00000000-0002-0000-04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
  <sheetViews>
    <sheetView zoomScale="93" zoomScaleNormal="60" workbookViewId="0">
      <pane ySplit="1" topLeftCell="A11" activePane="bottomLeft" state="frozen"/>
      <selection pane="bottomLeft" activeCell="P8" sqref="P8"/>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351</v>
      </c>
      <c r="B2" s="13" t="s">
        <v>352</v>
      </c>
      <c r="C2" s="13"/>
      <c r="D2" s="13"/>
      <c r="E2" s="13"/>
      <c r="F2" s="13"/>
      <c r="G2" s="13"/>
      <c r="H2" s="13"/>
    </row>
    <row r="3" spans="1:8" ht="30" customHeight="1" x14ac:dyDescent="0.3">
      <c r="A3" s="14" t="s">
        <v>351</v>
      </c>
      <c r="B3" s="14" t="s">
        <v>352</v>
      </c>
      <c r="C3" s="15" t="s">
        <v>353</v>
      </c>
      <c r="D3" s="16" t="s">
        <v>354</v>
      </c>
      <c r="E3" s="17">
        <v>2</v>
      </c>
      <c r="F3" s="18" t="s">
        <v>72</v>
      </c>
      <c r="G3" s="16" t="s">
        <v>355</v>
      </c>
      <c r="H3" s="16"/>
    </row>
    <row r="4" spans="1:8" ht="18" customHeight="1" x14ac:dyDescent="0.3">
      <c r="A4" s="13" t="s">
        <v>356</v>
      </c>
      <c r="B4" s="13" t="s">
        <v>357</v>
      </c>
      <c r="C4" s="13"/>
      <c r="D4" s="13"/>
      <c r="E4" s="13"/>
      <c r="F4" s="13"/>
      <c r="G4" s="13"/>
      <c r="H4" s="13"/>
    </row>
    <row r="5" spans="1:8" ht="30" customHeight="1" x14ac:dyDescent="0.3">
      <c r="A5" s="14" t="s">
        <v>356</v>
      </c>
      <c r="B5" s="14" t="s">
        <v>357</v>
      </c>
      <c r="C5" s="15" t="s">
        <v>358</v>
      </c>
      <c r="D5" s="16" t="s">
        <v>359</v>
      </c>
      <c r="E5" s="22">
        <v>1</v>
      </c>
      <c r="F5" s="18" t="s">
        <v>72</v>
      </c>
      <c r="G5" s="16" t="s">
        <v>355</v>
      </c>
      <c r="H5" s="16"/>
    </row>
    <row r="6" spans="1:8" ht="30" customHeight="1" x14ac:dyDescent="0.3">
      <c r="A6" s="19" t="s">
        <v>356</v>
      </c>
      <c r="B6" s="19" t="s">
        <v>357</v>
      </c>
      <c r="C6" s="20" t="s">
        <v>360</v>
      </c>
      <c r="D6" s="21" t="s">
        <v>361</v>
      </c>
      <c r="E6" s="22">
        <v>1</v>
      </c>
      <c r="F6" s="18" t="s">
        <v>72</v>
      </c>
      <c r="G6" s="27" t="s">
        <v>355</v>
      </c>
      <c r="H6" s="21"/>
    </row>
    <row r="7" spans="1:8" ht="30" customHeight="1" x14ac:dyDescent="0.3">
      <c r="A7" s="14" t="s">
        <v>356</v>
      </c>
      <c r="B7" s="14" t="s">
        <v>357</v>
      </c>
      <c r="C7" s="15" t="s">
        <v>362</v>
      </c>
      <c r="D7" s="16" t="s">
        <v>363</v>
      </c>
      <c r="E7" s="17">
        <v>2</v>
      </c>
      <c r="F7" s="18" t="s">
        <v>72</v>
      </c>
      <c r="G7" s="16" t="s">
        <v>355</v>
      </c>
      <c r="H7" s="16"/>
    </row>
    <row r="8" spans="1:8" ht="30" customHeight="1" x14ac:dyDescent="0.3">
      <c r="A8" s="19" t="s">
        <v>356</v>
      </c>
      <c r="B8" s="19" t="s">
        <v>357</v>
      </c>
      <c r="C8" s="20" t="s">
        <v>364</v>
      </c>
      <c r="D8" s="21" t="s">
        <v>365</v>
      </c>
      <c r="E8" s="23">
        <v>3</v>
      </c>
      <c r="F8" s="18" t="s">
        <v>72</v>
      </c>
      <c r="G8" s="27" t="s">
        <v>355</v>
      </c>
      <c r="H8" s="21"/>
    </row>
    <row r="9" spans="1:8" ht="30" customHeight="1" x14ac:dyDescent="0.3">
      <c r="A9" s="14" t="s">
        <v>356</v>
      </c>
      <c r="B9" s="14" t="s">
        <v>357</v>
      </c>
      <c r="C9" s="15" t="s">
        <v>366</v>
      </c>
      <c r="D9" s="16" t="s">
        <v>367</v>
      </c>
      <c r="E9" s="23">
        <v>3</v>
      </c>
      <c r="F9" s="18" t="s">
        <v>72</v>
      </c>
      <c r="G9" s="16" t="s">
        <v>355</v>
      </c>
      <c r="H9" s="16"/>
    </row>
    <row r="10" spans="1:8" ht="30" customHeight="1" x14ac:dyDescent="0.3">
      <c r="A10" s="19" t="s">
        <v>356</v>
      </c>
      <c r="B10" s="19" t="s">
        <v>357</v>
      </c>
      <c r="C10" s="20" t="s">
        <v>368</v>
      </c>
      <c r="D10" s="21" t="s">
        <v>369</v>
      </c>
      <c r="E10" s="23">
        <v>3</v>
      </c>
      <c r="F10" s="18" t="s">
        <v>72</v>
      </c>
      <c r="G10" s="27" t="s">
        <v>355</v>
      </c>
      <c r="H10" s="21"/>
    </row>
    <row r="11" spans="1:8" ht="18" customHeight="1" x14ac:dyDescent="0.3">
      <c r="A11" s="13" t="s">
        <v>370</v>
      </c>
      <c r="B11" s="13" t="s">
        <v>371</v>
      </c>
      <c r="C11" s="13"/>
      <c r="D11" s="13"/>
      <c r="E11" s="13"/>
      <c r="F11" s="13"/>
      <c r="G11" s="13"/>
      <c r="H11" s="13"/>
    </row>
    <row r="12" spans="1:8" ht="30" customHeight="1" x14ac:dyDescent="0.3">
      <c r="A12" s="14" t="s">
        <v>370</v>
      </c>
      <c r="B12" s="14" t="s">
        <v>371</v>
      </c>
      <c r="C12" s="15" t="s">
        <v>372</v>
      </c>
      <c r="D12" s="16" t="s">
        <v>373</v>
      </c>
      <c r="E12" s="22">
        <v>1</v>
      </c>
      <c r="F12" s="18" t="s">
        <v>72</v>
      </c>
      <c r="G12" s="16" t="s">
        <v>355</v>
      </c>
      <c r="H12" s="16"/>
    </row>
    <row r="13" spans="1:8" ht="30" customHeight="1" x14ac:dyDescent="0.3">
      <c r="A13" s="19" t="s">
        <v>370</v>
      </c>
      <c r="B13" s="19" t="s">
        <v>371</v>
      </c>
      <c r="C13" s="20" t="s">
        <v>374</v>
      </c>
      <c r="D13" s="21" t="s">
        <v>375</v>
      </c>
      <c r="E13" s="22">
        <v>1</v>
      </c>
      <c r="F13" s="18" t="s">
        <v>82</v>
      </c>
      <c r="G13" s="21" t="s">
        <v>376</v>
      </c>
      <c r="H13" s="21" t="s">
        <v>69</v>
      </c>
    </row>
    <row r="14" spans="1:8" ht="30" customHeight="1" x14ac:dyDescent="0.3">
      <c r="A14" s="14" t="s">
        <v>370</v>
      </c>
      <c r="B14" s="14" t="s">
        <v>371</v>
      </c>
      <c r="C14" s="15" t="s">
        <v>377</v>
      </c>
      <c r="D14" s="16" t="s">
        <v>378</v>
      </c>
      <c r="E14" s="23">
        <v>3</v>
      </c>
      <c r="F14" s="18" t="s">
        <v>72</v>
      </c>
      <c r="G14" s="16" t="s">
        <v>355</v>
      </c>
      <c r="H14" s="16"/>
    </row>
    <row r="15" spans="1:8" ht="18" customHeight="1" x14ac:dyDescent="0.3">
      <c r="A15" s="13" t="s">
        <v>379</v>
      </c>
      <c r="B15" s="13" t="s">
        <v>380</v>
      </c>
      <c r="C15" s="13"/>
      <c r="D15" s="13"/>
      <c r="E15" s="13"/>
      <c r="F15" s="13"/>
      <c r="G15" s="13"/>
      <c r="H15" s="13"/>
    </row>
    <row r="16" spans="1:8" ht="30" customHeight="1" x14ac:dyDescent="0.3">
      <c r="A16" s="14" t="s">
        <v>379</v>
      </c>
      <c r="B16" s="14" t="s">
        <v>380</v>
      </c>
      <c r="C16" s="15" t="s">
        <v>381</v>
      </c>
      <c r="D16" s="16" t="s">
        <v>382</v>
      </c>
      <c r="E16" s="17">
        <v>2</v>
      </c>
      <c r="F16" s="18" t="s">
        <v>72</v>
      </c>
      <c r="G16" s="16" t="s">
        <v>355</v>
      </c>
      <c r="H16" s="16"/>
    </row>
    <row r="17" spans="1:8" ht="30" customHeight="1" x14ac:dyDescent="0.3">
      <c r="A17" s="19" t="s">
        <v>379</v>
      </c>
      <c r="B17" s="19" t="s">
        <v>380</v>
      </c>
      <c r="C17" s="20" t="s">
        <v>383</v>
      </c>
      <c r="D17" s="21" t="s">
        <v>384</v>
      </c>
      <c r="E17" s="17">
        <v>2</v>
      </c>
      <c r="F17" s="18" t="s">
        <v>72</v>
      </c>
      <c r="G17" s="21" t="s">
        <v>355</v>
      </c>
      <c r="H17" s="21"/>
    </row>
    <row r="18" spans="1:8" ht="30" customHeight="1" x14ac:dyDescent="0.3">
      <c r="A18" s="14" t="s">
        <v>379</v>
      </c>
      <c r="B18" s="14" t="s">
        <v>380</v>
      </c>
      <c r="C18" s="15" t="s">
        <v>385</v>
      </c>
      <c r="D18" s="16" t="s">
        <v>386</v>
      </c>
      <c r="E18" s="17">
        <v>2</v>
      </c>
      <c r="F18" s="18" t="s">
        <v>72</v>
      </c>
      <c r="G18" s="16" t="s">
        <v>355</v>
      </c>
      <c r="H18" s="16"/>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5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6"/>
  <sheetViews>
    <sheetView zoomScale="110" zoomScaleNormal="75" workbookViewId="0">
      <pane ySplit="1" topLeftCell="A2" activePane="bottomLeft" state="frozen"/>
      <selection pane="bottomLeft" activeCell="G56" sqref="G56"/>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387</v>
      </c>
      <c r="B2" s="13" t="s">
        <v>388</v>
      </c>
      <c r="C2" s="13"/>
      <c r="D2" s="13"/>
      <c r="E2" s="13"/>
      <c r="F2" s="13"/>
      <c r="G2" s="13"/>
      <c r="H2" s="13"/>
    </row>
    <row r="3" spans="1:8" ht="30" customHeight="1" x14ac:dyDescent="0.3">
      <c r="A3" s="14" t="s">
        <v>387</v>
      </c>
      <c r="B3" s="14" t="s">
        <v>388</v>
      </c>
      <c r="C3" s="15" t="s">
        <v>389</v>
      </c>
      <c r="D3" s="16" t="s">
        <v>390</v>
      </c>
      <c r="E3" s="22">
        <v>1</v>
      </c>
      <c r="F3" s="18" t="s">
        <v>82</v>
      </c>
      <c r="G3" s="16" t="s">
        <v>391</v>
      </c>
      <c r="H3" s="26" t="s">
        <v>392</v>
      </c>
    </row>
    <row r="4" spans="1:8" ht="30" customHeight="1" x14ac:dyDescent="0.3">
      <c r="A4" s="19" t="s">
        <v>387</v>
      </c>
      <c r="B4" s="19" t="s">
        <v>388</v>
      </c>
      <c r="C4" s="20" t="s">
        <v>393</v>
      </c>
      <c r="D4" s="21" t="s">
        <v>394</v>
      </c>
      <c r="E4" s="17">
        <v>2</v>
      </c>
      <c r="F4" s="18" t="s">
        <v>72</v>
      </c>
      <c r="G4" s="21" t="s">
        <v>395</v>
      </c>
      <c r="H4" s="21"/>
    </row>
    <row r="5" spans="1:8" ht="30" customHeight="1" x14ac:dyDescent="0.3">
      <c r="A5" s="14" t="s">
        <v>387</v>
      </c>
      <c r="B5" s="14" t="s">
        <v>388</v>
      </c>
      <c r="C5" s="15" t="s">
        <v>396</v>
      </c>
      <c r="D5" s="16" t="s">
        <v>397</v>
      </c>
      <c r="E5" s="17">
        <v>2</v>
      </c>
      <c r="F5" s="18" t="s">
        <v>82</v>
      </c>
      <c r="G5" s="16" t="s">
        <v>398</v>
      </c>
      <c r="H5" s="26" t="s">
        <v>399</v>
      </c>
    </row>
    <row r="6" spans="1:8" ht="18" customHeight="1" x14ac:dyDescent="0.3">
      <c r="A6" s="13" t="s">
        <v>400</v>
      </c>
      <c r="B6" s="13" t="s">
        <v>401</v>
      </c>
      <c r="C6" s="13"/>
      <c r="D6" s="13"/>
      <c r="E6" s="13"/>
      <c r="F6" s="13"/>
      <c r="G6" s="13"/>
      <c r="H6" s="13"/>
    </row>
    <row r="7" spans="1:8" ht="30" customHeight="1" x14ac:dyDescent="0.3">
      <c r="A7" s="14" t="s">
        <v>400</v>
      </c>
      <c r="B7" s="14" t="s">
        <v>401</v>
      </c>
      <c r="C7" s="15" t="s">
        <v>402</v>
      </c>
      <c r="D7" s="16" t="s">
        <v>403</v>
      </c>
      <c r="E7" s="22">
        <v>1</v>
      </c>
      <c r="F7" s="18" t="s">
        <v>82</v>
      </c>
      <c r="G7" s="16" t="s">
        <v>404</v>
      </c>
      <c r="H7" s="26" t="s">
        <v>405</v>
      </c>
    </row>
    <row r="8" spans="1:8" ht="30" customHeight="1" x14ac:dyDescent="0.3">
      <c r="A8" s="19" t="s">
        <v>400</v>
      </c>
      <c r="B8" s="19" t="s">
        <v>401</v>
      </c>
      <c r="C8" s="20" t="s">
        <v>406</v>
      </c>
      <c r="D8" s="21" t="s">
        <v>407</v>
      </c>
      <c r="E8" s="22">
        <v>1</v>
      </c>
      <c r="F8" s="18" t="s">
        <v>82</v>
      </c>
      <c r="G8" s="21" t="s">
        <v>408</v>
      </c>
      <c r="H8" s="21"/>
    </row>
    <row r="9" spans="1:8" ht="30" customHeight="1" x14ac:dyDescent="0.3">
      <c r="A9" s="14" t="s">
        <v>400</v>
      </c>
      <c r="B9" s="14" t="s">
        <v>401</v>
      </c>
      <c r="C9" s="15" t="s">
        <v>409</v>
      </c>
      <c r="D9" s="16" t="s">
        <v>410</v>
      </c>
      <c r="E9" s="22">
        <v>1</v>
      </c>
      <c r="F9" s="18" t="s">
        <v>82</v>
      </c>
      <c r="G9" s="16" t="s">
        <v>411</v>
      </c>
      <c r="H9" s="16"/>
    </row>
    <row r="10" spans="1:8" ht="30" customHeight="1" x14ac:dyDescent="0.3">
      <c r="A10" s="19" t="s">
        <v>400</v>
      </c>
      <c r="B10" s="19" t="s">
        <v>401</v>
      </c>
      <c r="C10" s="20" t="s">
        <v>412</v>
      </c>
      <c r="D10" s="21" t="s">
        <v>413</v>
      </c>
      <c r="E10" s="22">
        <v>1</v>
      </c>
      <c r="F10" s="18" t="s">
        <v>82</v>
      </c>
      <c r="G10" s="21" t="s">
        <v>411</v>
      </c>
      <c r="H10" s="21"/>
    </row>
    <row r="11" spans="1:8" ht="30" customHeight="1" x14ac:dyDescent="0.3">
      <c r="A11" s="14" t="s">
        <v>400</v>
      </c>
      <c r="B11" s="14" t="s">
        <v>401</v>
      </c>
      <c r="C11" s="15" t="s">
        <v>414</v>
      </c>
      <c r="D11" s="16" t="s">
        <v>415</v>
      </c>
      <c r="E11" s="22">
        <v>1</v>
      </c>
      <c r="F11" s="18" t="s">
        <v>82</v>
      </c>
      <c r="G11" s="16" t="s">
        <v>416</v>
      </c>
      <c r="H11" s="16"/>
    </row>
    <row r="12" spans="1:8" ht="30" customHeight="1" x14ac:dyDescent="0.3">
      <c r="A12" s="19" t="s">
        <v>400</v>
      </c>
      <c r="B12" s="19" t="s">
        <v>401</v>
      </c>
      <c r="C12" s="20" t="s">
        <v>417</v>
      </c>
      <c r="D12" s="21" t="s">
        <v>418</v>
      </c>
      <c r="E12" s="22">
        <v>1</v>
      </c>
      <c r="F12" s="18" t="s">
        <v>82</v>
      </c>
      <c r="G12" s="21" t="s">
        <v>416</v>
      </c>
      <c r="H12" s="21"/>
    </row>
    <row r="13" spans="1:8" ht="30" customHeight="1" x14ac:dyDescent="0.3">
      <c r="A13" s="14" t="s">
        <v>400</v>
      </c>
      <c r="B13" s="14" t="s">
        <v>401</v>
      </c>
      <c r="C13" s="15" t="s">
        <v>419</v>
      </c>
      <c r="D13" s="16" t="s">
        <v>420</v>
      </c>
      <c r="E13" s="22">
        <v>1</v>
      </c>
      <c r="F13" s="18" t="s">
        <v>82</v>
      </c>
      <c r="G13" s="16" t="s">
        <v>416</v>
      </c>
      <c r="H13" s="16"/>
    </row>
    <row r="14" spans="1:8" ht="30" customHeight="1" x14ac:dyDescent="0.3">
      <c r="A14" s="19" t="s">
        <v>400</v>
      </c>
      <c r="B14" s="19" t="s">
        <v>401</v>
      </c>
      <c r="C14" s="20" t="s">
        <v>421</v>
      </c>
      <c r="D14" s="21" t="s">
        <v>422</v>
      </c>
      <c r="E14" s="22">
        <v>1</v>
      </c>
      <c r="F14" s="18" t="s">
        <v>82</v>
      </c>
      <c r="G14" s="21" t="s">
        <v>416</v>
      </c>
      <c r="H14" s="21"/>
    </row>
    <row r="15" spans="1:8" ht="30" customHeight="1" x14ac:dyDescent="0.3">
      <c r="A15" s="14" t="s">
        <v>400</v>
      </c>
      <c r="B15" s="14" t="s">
        <v>401</v>
      </c>
      <c r="C15" s="15" t="s">
        <v>423</v>
      </c>
      <c r="D15" s="16" t="s">
        <v>424</v>
      </c>
      <c r="E15" s="17">
        <v>2</v>
      </c>
      <c r="F15" s="18" t="s">
        <v>82</v>
      </c>
      <c r="G15" s="16" t="s">
        <v>416</v>
      </c>
      <c r="H15" s="16"/>
    </row>
    <row r="16" spans="1:8" ht="30" customHeight="1" x14ac:dyDescent="0.3">
      <c r="A16" s="19" t="s">
        <v>400</v>
      </c>
      <c r="B16" s="19" t="s">
        <v>401</v>
      </c>
      <c r="C16" s="20" t="s">
        <v>425</v>
      </c>
      <c r="D16" s="21" t="s">
        <v>426</v>
      </c>
      <c r="E16" s="17">
        <v>2</v>
      </c>
      <c r="F16" s="18" t="s">
        <v>82</v>
      </c>
      <c r="G16" s="21" t="s">
        <v>416</v>
      </c>
      <c r="H16" s="21"/>
    </row>
    <row r="17" spans="1:8" ht="30" customHeight="1" x14ac:dyDescent="0.3">
      <c r="A17" s="14" t="s">
        <v>400</v>
      </c>
      <c r="B17" s="14" t="s">
        <v>401</v>
      </c>
      <c r="C17" s="15" t="s">
        <v>427</v>
      </c>
      <c r="D17" s="16" t="s">
        <v>428</v>
      </c>
      <c r="E17" s="17">
        <v>2</v>
      </c>
      <c r="F17" s="18" t="s">
        <v>82</v>
      </c>
      <c r="G17" s="16" t="s">
        <v>416</v>
      </c>
      <c r="H17" s="16"/>
    </row>
    <row r="18" spans="1:8" ht="30" customHeight="1" x14ac:dyDescent="0.3">
      <c r="A18" s="19" t="s">
        <v>400</v>
      </c>
      <c r="B18" s="19" t="s">
        <v>401</v>
      </c>
      <c r="C18" s="20" t="s">
        <v>429</v>
      </c>
      <c r="D18" s="21" t="s">
        <v>430</v>
      </c>
      <c r="E18" s="17">
        <v>2</v>
      </c>
      <c r="F18" s="18" t="s">
        <v>82</v>
      </c>
      <c r="G18" s="21" t="s">
        <v>416</v>
      </c>
      <c r="H18" s="21"/>
    </row>
    <row r="19" spans="1:8" ht="18" customHeight="1" x14ac:dyDescent="0.3">
      <c r="A19" s="13" t="s">
        <v>431</v>
      </c>
      <c r="B19" s="13" t="s">
        <v>432</v>
      </c>
      <c r="C19" s="13"/>
      <c r="D19" s="13"/>
      <c r="E19" s="13"/>
      <c r="F19" s="13"/>
      <c r="G19" s="13"/>
      <c r="H19" s="13"/>
    </row>
    <row r="20" spans="1:8" ht="30" customHeight="1" x14ac:dyDescent="0.3">
      <c r="A20" s="14" t="s">
        <v>431</v>
      </c>
      <c r="B20" s="14" t="s">
        <v>432</v>
      </c>
      <c r="C20" s="15" t="s">
        <v>433</v>
      </c>
      <c r="D20" s="16" t="s">
        <v>434</v>
      </c>
      <c r="E20" s="22">
        <v>1</v>
      </c>
      <c r="F20" s="18" t="s">
        <v>82</v>
      </c>
      <c r="G20" s="16" t="s">
        <v>435</v>
      </c>
      <c r="H20" s="26" t="s">
        <v>392</v>
      </c>
    </row>
    <row r="21" spans="1:8" ht="30" customHeight="1" x14ac:dyDescent="0.3">
      <c r="A21" s="19" t="s">
        <v>431</v>
      </c>
      <c r="B21" s="19" t="s">
        <v>432</v>
      </c>
      <c r="C21" s="20" t="s">
        <v>436</v>
      </c>
      <c r="D21" s="21" t="s">
        <v>437</v>
      </c>
      <c r="E21" s="22">
        <v>1</v>
      </c>
      <c r="F21" s="18" t="s">
        <v>82</v>
      </c>
      <c r="G21" s="21" t="s">
        <v>438</v>
      </c>
      <c r="H21" s="21"/>
    </row>
    <row r="22" spans="1:8" ht="30" customHeight="1" x14ac:dyDescent="0.3">
      <c r="A22" s="14" t="s">
        <v>431</v>
      </c>
      <c r="B22" s="14" t="s">
        <v>432</v>
      </c>
      <c r="C22" s="15" t="s">
        <v>439</v>
      </c>
      <c r="D22" s="16" t="s">
        <v>440</v>
      </c>
      <c r="E22" s="17">
        <v>2</v>
      </c>
      <c r="F22" s="18" t="s">
        <v>72</v>
      </c>
      <c r="G22" s="16" t="s">
        <v>441</v>
      </c>
      <c r="H22" s="16"/>
    </row>
    <row r="23" spans="1:8" ht="30" customHeight="1" x14ac:dyDescent="0.3">
      <c r="A23" s="19" t="s">
        <v>431</v>
      </c>
      <c r="B23" s="19" t="s">
        <v>432</v>
      </c>
      <c r="C23" s="20" t="s">
        <v>442</v>
      </c>
      <c r="D23" s="21" t="s">
        <v>443</v>
      </c>
      <c r="E23" s="17">
        <v>2</v>
      </c>
      <c r="F23" s="18" t="s">
        <v>82</v>
      </c>
      <c r="G23" s="21" t="s">
        <v>444</v>
      </c>
      <c r="H23" s="24" t="s">
        <v>399</v>
      </c>
    </row>
    <row r="24" spans="1:8" ht="30" customHeight="1" x14ac:dyDescent="0.3">
      <c r="A24" s="14" t="s">
        <v>431</v>
      </c>
      <c r="B24" s="14" t="s">
        <v>432</v>
      </c>
      <c r="C24" s="15" t="s">
        <v>445</v>
      </c>
      <c r="D24" s="16" t="s">
        <v>446</v>
      </c>
      <c r="E24" s="23">
        <v>3</v>
      </c>
      <c r="F24" s="18" t="s">
        <v>72</v>
      </c>
      <c r="G24" s="16" t="s">
        <v>447</v>
      </c>
      <c r="H24" s="16"/>
    </row>
    <row r="25" spans="1:8" ht="30" customHeight="1" x14ac:dyDescent="0.3">
      <c r="A25" s="19" t="s">
        <v>431</v>
      </c>
      <c r="B25" s="19" t="s">
        <v>432</v>
      </c>
      <c r="C25" s="20" t="s">
        <v>448</v>
      </c>
      <c r="D25" s="21" t="s">
        <v>449</v>
      </c>
      <c r="E25" s="23">
        <v>3</v>
      </c>
      <c r="F25" s="18" t="s">
        <v>82</v>
      </c>
      <c r="G25" s="21" t="s">
        <v>450</v>
      </c>
      <c r="H25" s="21"/>
    </row>
    <row r="26" spans="1:8" ht="30" customHeight="1" x14ac:dyDescent="0.3">
      <c r="A26" s="14" t="s">
        <v>431</v>
      </c>
      <c r="B26" s="14" t="s">
        <v>432</v>
      </c>
      <c r="C26" s="15" t="s">
        <v>451</v>
      </c>
      <c r="D26" s="16" t="s">
        <v>452</v>
      </c>
      <c r="E26" s="23">
        <v>3</v>
      </c>
      <c r="F26" s="18" t="s">
        <v>72</v>
      </c>
      <c r="G26" s="16" t="s">
        <v>453</v>
      </c>
      <c r="H26" s="16"/>
    </row>
    <row r="27" spans="1:8" ht="30" customHeight="1" x14ac:dyDescent="0.3">
      <c r="A27" s="19" t="s">
        <v>431</v>
      </c>
      <c r="B27" s="19" t="s">
        <v>432</v>
      </c>
      <c r="C27" s="20" t="s">
        <v>454</v>
      </c>
      <c r="D27" s="21" t="s">
        <v>455</v>
      </c>
      <c r="E27" s="23">
        <v>3</v>
      </c>
      <c r="F27" s="18" t="s">
        <v>82</v>
      </c>
      <c r="G27" s="21" t="s">
        <v>456</v>
      </c>
      <c r="H27" s="24" t="s">
        <v>457</v>
      </c>
    </row>
    <row r="28" spans="1:8" ht="18" customHeight="1" x14ac:dyDescent="0.3">
      <c r="A28" s="13" t="s">
        <v>458</v>
      </c>
      <c r="B28" s="13" t="s">
        <v>459</v>
      </c>
      <c r="C28" s="13"/>
      <c r="D28" s="13"/>
      <c r="E28" s="13"/>
      <c r="F28" s="13"/>
      <c r="G28" s="13"/>
      <c r="H28" s="13"/>
    </row>
    <row r="29" spans="1:8" ht="30" customHeight="1" x14ac:dyDescent="0.3">
      <c r="A29" s="14" t="s">
        <v>458</v>
      </c>
      <c r="B29" s="14" t="s">
        <v>459</v>
      </c>
      <c r="C29" s="15" t="s">
        <v>460</v>
      </c>
      <c r="D29" s="16" t="s">
        <v>461</v>
      </c>
      <c r="E29" s="22">
        <v>1</v>
      </c>
      <c r="F29" s="18" t="s">
        <v>72</v>
      </c>
      <c r="G29" s="16" t="s">
        <v>462</v>
      </c>
      <c r="H29" s="16"/>
    </row>
    <row r="30" spans="1:8" ht="30" customHeight="1" x14ac:dyDescent="0.3">
      <c r="A30" s="19" t="s">
        <v>458</v>
      </c>
      <c r="B30" s="19" t="s">
        <v>459</v>
      </c>
      <c r="C30" s="20" t="s">
        <v>463</v>
      </c>
      <c r="D30" s="21" t="s">
        <v>464</v>
      </c>
      <c r="E30" s="22">
        <v>1</v>
      </c>
      <c r="F30" s="18" t="s">
        <v>72</v>
      </c>
      <c r="G30" s="21" t="s">
        <v>462</v>
      </c>
      <c r="H30" s="21"/>
    </row>
    <row r="31" spans="1:8" ht="30" customHeight="1" x14ac:dyDescent="0.3">
      <c r="A31" s="14" t="s">
        <v>458</v>
      </c>
      <c r="B31" s="14" t="s">
        <v>459</v>
      </c>
      <c r="C31" s="15" t="s">
        <v>465</v>
      </c>
      <c r="D31" s="16" t="s">
        <v>466</v>
      </c>
      <c r="E31" s="17">
        <v>2</v>
      </c>
      <c r="F31" s="18" t="s">
        <v>72</v>
      </c>
      <c r="G31" s="16" t="s">
        <v>462</v>
      </c>
      <c r="H31" s="16"/>
    </row>
    <row r="32" spans="1:8" ht="30" customHeight="1" x14ac:dyDescent="0.3">
      <c r="A32" s="19" t="s">
        <v>458</v>
      </c>
      <c r="B32" s="19" t="s">
        <v>459</v>
      </c>
      <c r="C32" s="20" t="s">
        <v>467</v>
      </c>
      <c r="D32" s="21" t="s">
        <v>468</v>
      </c>
      <c r="E32" s="17">
        <v>2</v>
      </c>
      <c r="F32" s="18" t="s">
        <v>72</v>
      </c>
      <c r="G32" s="21" t="s">
        <v>462</v>
      </c>
      <c r="H32" s="21"/>
    </row>
    <row r="33" spans="1:8" ht="30" customHeight="1" x14ac:dyDescent="0.3">
      <c r="A33" s="14" t="s">
        <v>458</v>
      </c>
      <c r="B33" s="14" t="s">
        <v>459</v>
      </c>
      <c r="C33" s="15" t="s">
        <v>469</v>
      </c>
      <c r="D33" s="16" t="s">
        <v>470</v>
      </c>
      <c r="E33" s="23">
        <v>3</v>
      </c>
      <c r="F33" s="18" t="s">
        <v>72</v>
      </c>
      <c r="G33" s="16" t="s">
        <v>462</v>
      </c>
      <c r="H33" s="16"/>
    </row>
    <row r="34" spans="1:8" ht="30" customHeight="1" x14ac:dyDescent="0.3">
      <c r="A34" s="19" t="s">
        <v>458</v>
      </c>
      <c r="B34" s="19" t="s">
        <v>459</v>
      </c>
      <c r="C34" s="20" t="s">
        <v>471</v>
      </c>
      <c r="D34" s="21" t="s">
        <v>472</v>
      </c>
      <c r="E34" s="23">
        <v>3</v>
      </c>
      <c r="F34" s="18" t="s">
        <v>72</v>
      </c>
      <c r="G34" s="21" t="s">
        <v>462</v>
      </c>
      <c r="H34" s="21"/>
    </row>
    <row r="35" spans="1:8" ht="18" customHeight="1" x14ac:dyDescent="0.3">
      <c r="A35" s="13" t="s">
        <v>473</v>
      </c>
      <c r="B35" s="13" t="s">
        <v>474</v>
      </c>
      <c r="C35" s="13"/>
      <c r="D35" s="13"/>
      <c r="E35" s="13"/>
      <c r="F35" s="13"/>
      <c r="G35" s="13"/>
      <c r="H35" s="13"/>
    </row>
    <row r="36" spans="1:8" ht="30" customHeight="1" x14ac:dyDescent="0.3">
      <c r="A36" s="14" t="s">
        <v>473</v>
      </c>
      <c r="B36" s="14" t="s">
        <v>474</v>
      </c>
      <c r="C36" s="15" t="s">
        <v>475</v>
      </c>
      <c r="D36" s="16" t="s">
        <v>476</v>
      </c>
      <c r="E36" s="17">
        <v>2</v>
      </c>
      <c r="F36" s="18" t="s">
        <v>72</v>
      </c>
      <c r="G36" s="16" t="s">
        <v>477</v>
      </c>
      <c r="H36" s="16"/>
    </row>
    <row r="37" spans="1:8" ht="30" customHeight="1" x14ac:dyDescent="0.3">
      <c r="A37" s="19" t="s">
        <v>473</v>
      </c>
      <c r="B37" s="19" t="s">
        <v>474</v>
      </c>
      <c r="C37" s="20" t="s">
        <v>478</v>
      </c>
      <c r="D37" s="21" t="s">
        <v>479</v>
      </c>
      <c r="E37" s="17">
        <v>2</v>
      </c>
      <c r="F37" s="18" t="s">
        <v>72</v>
      </c>
      <c r="G37" s="21" t="s">
        <v>477</v>
      </c>
      <c r="H37" s="21"/>
    </row>
    <row r="38" spans="1:8" ht="30" customHeight="1" x14ac:dyDescent="0.3">
      <c r="A38" s="14" t="s">
        <v>473</v>
      </c>
      <c r="B38" s="14" t="s">
        <v>474</v>
      </c>
      <c r="C38" s="15" t="s">
        <v>480</v>
      </c>
      <c r="D38" s="16" t="s">
        <v>481</v>
      </c>
      <c r="E38" s="17">
        <v>2</v>
      </c>
      <c r="F38" s="18" t="s">
        <v>72</v>
      </c>
      <c r="G38" s="16" t="s">
        <v>477</v>
      </c>
      <c r="H38" s="16"/>
    </row>
    <row r="39" spans="1:8" ht="30" customHeight="1" x14ac:dyDescent="0.3">
      <c r="A39" s="19" t="s">
        <v>473</v>
      </c>
      <c r="B39" s="19" t="s">
        <v>474</v>
      </c>
      <c r="C39" s="20" t="s">
        <v>482</v>
      </c>
      <c r="D39" s="21" t="s">
        <v>483</v>
      </c>
      <c r="E39" s="17">
        <v>2</v>
      </c>
      <c r="F39" s="18" t="s">
        <v>72</v>
      </c>
      <c r="G39" s="21" t="s">
        <v>477</v>
      </c>
      <c r="H39" s="21"/>
    </row>
    <row r="40" spans="1:8" ht="30" customHeight="1" x14ac:dyDescent="0.3">
      <c r="A40" s="14" t="s">
        <v>473</v>
      </c>
      <c r="B40" s="14" t="s">
        <v>474</v>
      </c>
      <c r="C40" s="15" t="s">
        <v>484</v>
      </c>
      <c r="D40" s="16" t="s">
        <v>485</v>
      </c>
      <c r="E40" s="17">
        <v>2</v>
      </c>
      <c r="F40" s="18" t="s">
        <v>72</v>
      </c>
      <c r="G40" s="16" t="s">
        <v>477</v>
      </c>
      <c r="H40" s="16"/>
    </row>
    <row r="41" spans="1:8" ht="30" customHeight="1" x14ac:dyDescent="0.3">
      <c r="A41" s="19" t="s">
        <v>473</v>
      </c>
      <c r="B41" s="19" t="s">
        <v>474</v>
      </c>
      <c r="C41" s="20" t="s">
        <v>486</v>
      </c>
      <c r="D41" s="21" t="s">
        <v>487</v>
      </c>
      <c r="E41" s="23">
        <v>3</v>
      </c>
      <c r="F41" s="18" t="s">
        <v>72</v>
      </c>
      <c r="G41" s="21" t="s">
        <v>477</v>
      </c>
      <c r="H41" s="21"/>
    </row>
    <row r="42" spans="1:8" ht="30" customHeight="1" x14ac:dyDescent="0.3">
      <c r="A42" s="14" t="s">
        <v>473</v>
      </c>
      <c r="B42" s="14" t="s">
        <v>474</v>
      </c>
      <c r="C42" s="15" t="s">
        <v>488</v>
      </c>
      <c r="D42" s="16" t="s">
        <v>489</v>
      </c>
      <c r="E42" s="23">
        <v>3</v>
      </c>
      <c r="F42" s="18" t="s">
        <v>72</v>
      </c>
      <c r="G42" s="16" t="s">
        <v>477</v>
      </c>
      <c r="H42" s="16"/>
    </row>
    <row r="43" spans="1:8" ht="30" customHeight="1" x14ac:dyDescent="0.3">
      <c r="A43" s="19" t="s">
        <v>473</v>
      </c>
      <c r="B43" s="19" t="s">
        <v>474</v>
      </c>
      <c r="C43" s="20" t="s">
        <v>490</v>
      </c>
      <c r="D43" s="21" t="s">
        <v>491</v>
      </c>
      <c r="E43" s="23">
        <v>3</v>
      </c>
      <c r="F43" s="18" t="s">
        <v>72</v>
      </c>
      <c r="G43" s="21" t="s">
        <v>477</v>
      </c>
      <c r="H43" s="21"/>
    </row>
    <row r="44" spans="1:8" ht="18" customHeight="1" x14ac:dyDescent="0.3">
      <c r="A44" s="13" t="s">
        <v>492</v>
      </c>
      <c r="B44" s="13" t="s">
        <v>493</v>
      </c>
      <c r="C44" s="13"/>
      <c r="D44" s="13"/>
      <c r="E44" s="13"/>
      <c r="F44" s="13"/>
      <c r="G44" s="13"/>
      <c r="H44" s="13"/>
    </row>
    <row r="45" spans="1:8" ht="30" customHeight="1" x14ac:dyDescent="0.3">
      <c r="A45" s="14" t="s">
        <v>492</v>
      </c>
      <c r="B45" s="14" t="s">
        <v>493</v>
      </c>
      <c r="C45" s="15" t="s">
        <v>494</v>
      </c>
      <c r="D45" s="16" t="s">
        <v>495</v>
      </c>
      <c r="E45" s="17">
        <v>2</v>
      </c>
      <c r="F45" s="18" t="s">
        <v>72</v>
      </c>
      <c r="G45" s="16" t="s">
        <v>496</v>
      </c>
      <c r="H45" s="16"/>
    </row>
    <row r="46" spans="1:8" ht="30" customHeight="1" x14ac:dyDescent="0.3">
      <c r="A46" s="19" t="s">
        <v>492</v>
      </c>
      <c r="B46" s="19" t="s">
        <v>493</v>
      </c>
      <c r="C46" s="20" t="s">
        <v>497</v>
      </c>
      <c r="D46" s="21" t="s">
        <v>498</v>
      </c>
      <c r="E46" s="17">
        <v>2</v>
      </c>
      <c r="F46" s="18" t="s">
        <v>72</v>
      </c>
      <c r="G46" s="16" t="s">
        <v>496</v>
      </c>
      <c r="H46" s="21"/>
    </row>
    <row r="47" spans="1:8" ht="30" customHeight="1" x14ac:dyDescent="0.3">
      <c r="A47" s="14" t="s">
        <v>492</v>
      </c>
      <c r="B47" s="14" t="s">
        <v>493</v>
      </c>
      <c r="C47" s="15" t="s">
        <v>499</v>
      </c>
      <c r="D47" s="16" t="s">
        <v>500</v>
      </c>
      <c r="E47" s="17">
        <v>2</v>
      </c>
      <c r="F47" s="18" t="s">
        <v>72</v>
      </c>
      <c r="G47" s="16" t="s">
        <v>496</v>
      </c>
      <c r="H47" s="16"/>
    </row>
    <row r="48" spans="1:8" ht="30" customHeight="1" x14ac:dyDescent="0.3">
      <c r="A48" s="19" t="s">
        <v>492</v>
      </c>
      <c r="B48" s="19" t="s">
        <v>493</v>
      </c>
      <c r="C48" s="20" t="s">
        <v>501</v>
      </c>
      <c r="D48" s="21" t="s">
        <v>502</v>
      </c>
      <c r="E48" s="23">
        <v>3</v>
      </c>
      <c r="F48" s="18" t="s">
        <v>72</v>
      </c>
      <c r="G48" s="16" t="s">
        <v>496</v>
      </c>
      <c r="H48" s="21"/>
    </row>
    <row r="49" spans="1:8" ht="18" customHeight="1" x14ac:dyDescent="0.3">
      <c r="A49" s="13" t="s">
        <v>503</v>
      </c>
      <c r="B49" s="13" t="s">
        <v>504</v>
      </c>
      <c r="C49" s="13"/>
      <c r="D49" s="13"/>
      <c r="E49" s="13"/>
      <c r="F49" s="13"/>
      <c r="G49" s="13"/>
      <c r="H49" s="13"/>
    </row>
    <row r="50" spans="1:8" ht="30" customHeight="1" x14ac:dyDescent="0.3">
      <c r="A50" s="14" t="s">
        <v>503</v>
      </c>
      <c r="B50" s="14" t="s">
        <v>504</v>
      </c>
      <c r="C50" s="15" t="s">
        <v>505</v>
      </c>
      <c r="D50" s="16" t="s">
        <v>506</v>
      </c>
      <c r="E50" s="23">
        <v>3</v>
      </c>
      <c r="F50" s="18" t="s">
        <v>82</v>
      </c>
      <c r="G50" s="16" t="s">
        <v>507</v>
      </c>
      <c r="H50" s="26" t="s">
        <v>508</v>
      </c>
    </row>
    <row r="51" spans="1:8" ht="30" customHeight="1" x14ac:dyDescent="0.3">
      <c r="A51" s="19" t="s">
        <v>503</v>
      </c>
      <c r="B51" s="19" t="s">
        <v>504</v>
      </c>
      <c r="C51" s="20" t="s">
        <v>509</v>
      </c>
      <c r="D51" s="21" t="s">
        <v>510</v>
      </c>
      <c r="E51" s="23">
        <v>3</v>
      </c>
      <c r="F51" s="18" t="s">
        <v>72</v>
      </c>
      <c r="G51" s="21" t="s">
        <v>511</v>
      </c>
      <c r="H51" s="21"/>
    </row>
    <row r="52" spans="1:8" ht="18" customHeight="1" x14ac:dyDescent="0.3">
      <c r="A52" s="13" t="s">
        <v>512</v>
      </c>
      <c r="B52" s="13" t="s">
        <v>513</v>
      </c>
      <c r="C52" s="13"/>
      <c r="D52" s="13"/>
      <c r="E52" s="13"/>
      <c r="F52" s="13"/>
      <c r="G52" s="13"/>
      <c r="H52" s="13"/>
    </row>
    <row r="53" spans="1:8" ht="30" customHeight="1" x14ac:dyDescent="0.3">
      <c r="A53" s="14" t="s">
        <v>512</v>
      </c>
      <c r="B53" s="14" t="s">
        <v>513</v>
      </c>
      <c r="C53" s="15" t="s">
        <v>514</v>
      </c>
      <c r="D53" s="16" t="s">
        <v>515</v>
      </c>
      <c r="E53" s="17">
        <v>2</v>
      </c>
      <c r="F53" s="18" t="s">
        <v>72</v>
      </c>
      <c r="G53" s="16" t="s">
        <v>516</v>
      </c>
      <c r="H53" s="16"/>
    </row>
    <row r="54" spans="1:8" ht="30" customHeight="1" x14ac:dyDescent="0.3">
      <c r="A54" s="19" t="s">
        <v>512</v>
      </c>
      <c r="B54" s="19" t="s">
        <v>513</v>
      </c>
      <c r="C54" s="20" t="s">
        <v>517</v>
      </c>
      <c r="D54" s="21" t="s">
        <v>518</v>
      </c>
      <c r="E54" s="17">
        <v>2</v>
      </c>
      <c r="F54" s="18" t="s">
        <v>82</v>
      </c>
      <c r="G54" s="21" t="s">
        <v>519</v>
      </c>
      <c r="H54" s="24" t="s">
        <v>520</v>
      </c>
    </row>
    <row r="55" spans="1:8" ht="30" customHeight="1" x14ac:dyDescent="0.3">
      <c r="A55" s="14" t="s">
        <v>512</v>
      </c>
      <c r="B55" s="14" t="s">
        <v>513</v>
      </c>
      <c r="C55" s="15" t="s">
        <v>521</v>
      </c>
      <c r="D55" s="16" t="s">
        <v>522</v>
      </c>
      <c r="E55" s="17">
        <v>2</v>
      </c>
      <c r="F55" s="18" t="s">
        <v>72</v>
      </c>
      <c r="G55" s="16" t="s">
        <v>523</v>
      </c>
      <c r="H55" s="16"/>
    </row>
    <row r="56" spans="1:8" ht="30" customHeight="1" x14ac:dyDescent="0.3">
      <c r="A56" s="19" t="s">
        <v>512</v>
      </c>
      <c r="B56" s="19" t="s">
        <v>513</v>
      </c>
      <c r="C56" s="20" t="s">
        <v>524</v>
      </c>
      <c r="D56" s="21" t="s">
        <v>525</v>
      </c>
      <c r="E56" s="17">
        <v>2</v>
      </c>
      <c r="F56" s="18" t="s">
        <v>82</v>
      </c>
      <c r="G56" s="21" t="s">
        <v>1169</v>
      </c>
      <c r="H56" s="21"/>
    </row>
  </sheetData>
  <conditionalFormatting sqref="F2:F5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56" xr:uid="{00000000-0002-0000-0600-000000000000}">
      <formula1>"Not Started,In Progress,Compliant,Not Applicable"</formula1>
      <formula2>0</formula2>
    </dataValidation>
  </dataValidations>
  <hyperlinks>
    <hyperlink ref="H3" r:id="rId1" xr:uid="{00000000-0004-0000-0600-000000000000}"/>
    <hyperlink ref="H5" r:id="rId2" xr:uid="{00000000-0004-0000-0600-000001000000}"/>
    <hyperlink ref="H7" r:id="rId3" xr:uid="{00000000-0004-0000-0600-000002000000}"/>
    <hyperlink ref="H20" r:id="rId4" xr:uid="{00000000-0004-0000-0600-000003000000}"/>
    <hyperlink ref="H23" r:id="rId5" xr:uid="{00000000-0004-0000-0600-000004000000}"/>
    <hyperlink ref="H27" r:id="rId6" xr:uid="{00000000-0004-0000-0600-000005000000}"/>
    <hyperlink ref="H50" r:id="rId7" xr:uid="{00000000-0004-0000-0600-000006000000}"/>
    <hyperlink ref="H54" r:id="rId8" xr:uid="{00000000-0004-0000-0600-000007000000}"/>
  </hyperlinks>
  <pageMargins left="0.75" right="0.75" top="1" bottom="1" header="0.51180555555555496" footer="0.51180555555555496"/>
  <pageSetup firstPageNumber="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6"/>
  <sheetViews>
    <sheetView zoomScale="90" zoomScaleNormal="90" workbookViewId="0">
      <pane ySplit="1" topLeftCell="A21" activePane="bottomLeft" state="frozen"/>
      <selection pane="bottomLeft" activeCell="H27" sqref="H27"/>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527</v>
      </c>
      <c r="B2" s="13" t="s">
        <v>528</v>
      </c>
      <c r="C2" s="13"/>
      <c r="D2" s="13"/>
      <c r="E2" s="13"/>
      <c r="F2" s="13"/>
      <c r="G2" s="13"/>
      <c r="H2" s="13"/>
    </row>
    <row r="3" spans="1:8" ht="30" customHeight="1" x14ac:dyDescent="0.3">
      <c r="A3" s="14" t="s">
        <v>527</v>
      </c>
      <c r="B3" s="14" t="s">
        <v>528</v>
      </c>
      <c r="C3" s="15" t="s">
        <v>529</v>
      </c>
      <c r="D3" s="16" t="s">
        <v>530</v>
      </c>
      <c r="E3" s="17">
        <v>2</v>
      </c>
      <c r="F3" s="18" t="s">
        <v>82</v>
      </c>
      <c r="G3" s="16" t="s">
        <v>1170</v>
      </c>
      <c r="H3" s="16" t="s">
        <v>531</v>
      </c>
    </row>
    <row r="4" spans="1:8" ht="30" customHeight="1" x14ac:dyDescent="0.3">
      <c r="A4" s="19" t="s">
        <v>527</v>
      </c>
      <c r="B4" s="19" t="s">
        <v>528</v>
      </c>
      <c r="C4" s="20" t="s">
        <v>532</v>
      </c>
      <c r="D4" s="21" t="s">
        <v>533</v>
      </c>
      <c r="E4" s="17">
        <v>2</v>
      </c>
      <c r="F4" s="18" t="s">
        <v>82</v>
      </c>
      <c r="G4" s="21" t="s">
        <v>1171</v>
      </c>
      <c r="H4" s="21" t="s">
        <v>534</v>
      </c>
    </row>
    <row r="5" spans="1:8" ht="30" customHeight="1" x14ac:dyDescent="0.3">
      <c r="A5" s="14" t="s">
        <v>527</v>
      </c>
      <c r="B5" s="14" t="s">
        <v>528</v>
      </c>
      <c r="C5" s="15" t="s">
        <v>535</v>
      </c>
      <c r="D5" s="16" t="s">
        <v>536</v>
      </c>
      <c r="E5" s="17">
        <v>2</v>
      </c>
      <c r="F5" s="18" t="s">
        <v>82</v>
      </c>
      <c r="G5" s="16" t="s">
        <v>537</v>
      </c>
      <c r="H5" s="16" t="s">
        <v>538</v>
      </c>
    </row>
    <row r="6" spans="1:8" ht="18" customHeight="1" x14ac:dyDescent="0.3">
      <c r="A6" s="13" t="s">
        <v>539</v>
      </c>
      <c r="B6" s="13" t="s">
        <v>540</v>
      </c>
      <c r="C6" s="13"/>
      <c r="D6" s="13"/>
      <c r="E6" s="13"/>
      <c r="F6" s="13"/>
      <c r="G6" s="13"/>
      <c r="H6" s="13"/>
    </row>
    <row r="7" spans="1:8" ht="30" customHeight="1" x14ac:dyDescent="0.3">
      <c r="A7" s="14" t="s">
        <v>539</v>
      </c>
      <c r="B7" s="14" t="s">
        <v>540</v>
      </c>
      <c r="C7" s="15" t="s">
        <v>541</v>
      </c>
      <c r="D7" s="16" t="s">
        <v>542</v>
      </c>
      <c r="E7" s="22">
        <v>1</v>
      </c>
      <c r="F7" s="18" t="s">
        <v>82</v>
      </c>
      <c r="G7" s="16" t="s">
        <v>1172</v>
      </c>
      <c r="H7" s="16"/>
    </row>
    <row r="8" spans="1:8" ht="30" customHeight="1" x14ac:dyDescent="0.3">
      <c r="A8" s="19" t="s">
        <v>539</v>
      </c>
      <c r="B8" s="19" t="s">
        <v>540</v>
      </c>
      <c r="C8" s="20" t="s">
        <v>543</v>
      </c>
      <c r="D8" s="21" t="s">
        <v>544</v>
      </c>
      <c r="E8" s="22">
        <v>1</v>
      </c>
      <c r="F8" s="18" t="s">
        <v>82</v>
      </c>
      <c r="G8" s="21" t="s">
        <v>1173</v>
      </c>
      <c r="H8" s="21" t="s">
        <v>538</v>
      </c>
    </row>
    <row r="9" spans="1:8" ht="30" customHeight="1" x14ac:dyDescent="0.3">
      <c r="A9" s="14" t="s">
        <v>539</v>
      </c>
      <c r="B9" s="14" t="s">
        <v>540</v>
      </c>
      <c r="C9" s="15" t="s">
        <v>545</v>
      </c>
      <c r="D9" s="16" t="s">
        <v>546</v>
      </c>
      <c r="E9" s="22">
        <v>1</v>
      </c>
      <c r="F9" s="18" t="s">
        <v>72</v>
      </c>
      <c r="G9" s="16" t="s">
        <v>547</v>
      </c>
      <c r="H9" s="16"/>
    </row>
    <row r="10" spans="1:8" ht="30" customHeight="1" x14ac:dyDescent="0.3">
      <c r="A10" s="19" t="s">
        <v>539</v>
      </c>
      <c r="B10" s="19" t="s">
        <v>540</v>
      </c>
      <c r="C10" s="20" t="s">
        <v>548</v>
      </c>
      <c r="D10" s="21" t="s">
        <v>549</v>
      </c>
      <c r="E10" s="22">
        <v>1</v>
      </c>
      <c r="F10" s="18" t="s">
        <v>82</v>
      </c>
      <c r="G10" s="21" t="s">
        <v>550</v>
      </c>
      <c r="H10" s="21" t="s">
        <v>534</v>
      </c>
    </row>
    <row r="11" spans="1:8" ht="18" customHeight="1" x14ac:dyDescent="0.3">
      <c r="A11" s="13" t="s">
        <v>551</v>
      </c>
      <c r="B11" s="13" t="s">
        <v>552</v>
      </c>
      <c r="C11" s="13"/>
      <c r="D11" s="13"/>
      <c r="E11" s="13"/>
      <c r="F11" s="13"/>
      <c r="G11" s="13"/>
      <c r="H11" s="13"/>
    </row>
    <row r="12" spans="1:8" ht="30" customHeight="1" x14ac:dyDescent="0.3">
      <c r="A12" s="14" t="s">
        <v>551</v>
      </c>
      <c r="B12" s="14" t="s">
        <v>552</v>
      </c>
      <c r="C12" s="15" t="s">
        <v>553</v>
      </c>
      <c r="D12" s="16" t="s">
        <v>554</v>
      </c>
      <c r="E12" s="17">
        <v>2</v>
      </c>
      <c r="F12" s="18" t="s">
        <v>82</v>
      </c>
      <c r="G12" s="16" t="s">
        <v>1174</v>
      </c>
      <c r="H12" s="16" t="s">
        <v>531</v>
      </c>
    </row>
    <row r="13" spans="1:8" ht="30" customHeight="1" x14ac:dyDescent="0.3">
      <c r="A13" s="19" t="s">
        <v>551</v>
      </c>
      <c r="B13" s="19" t="s">
        <v>552</v>
      </c>
      <c r="C13" s="20" t="s">
        <v>555</v>
      </c>
      <c r="D13" s="21" t="s">
        <v>556</v>
      </c>
      <c r="E13" s="17">
        <v>2</v>
      </c>
      <c r="F13" s="18" t="s">
        <v>82</v>
      </c>
      <c r="G13" s="21" t="s">
        <v>1175</v>
      </c>
      <c r="H13" s="21" t="s">
        <v>531</v>
      </c>
    </row>
    <row r="14" spans="1:8" ht="18" customHeight="1" x14ac:dyDescent="0.3">
      <c r="A14" s="13" t="s">
        <v>557</v>
      </c>
      <c r="B14" s="13" t="s">
        <v>558</v>
      </c>
      <c r="C14" s="13"/>
      <c r="D14" s="13"/>
      <c r="E14" s="13"/>
      <c r="F14" s="13"/>
      <c r="G14" s="13"/>
      <c r="H14" s="13"/>
    </row>
    <row r="15" spans="1:8" ht="30" customHeight="1" x14ac:dyDescent="0.3">
      <c r="A15" s="14" t="s">
        <v>557</v>
      </c>
      <c r="B15" s="14" t="s">
        <v>558</v>
      </c>
      <c r="C15" s="15" t="s">
        <v>559</v>
      </c>
      <c r="D15" s="16" t="s">
        <v>560</v>
      </c>
      <c r="E15" s="22">
        <v>1</v>
      </c>
      <c r="F15" s="18" t="s">
        <v>82</v>
      </c>
      <c r="G15" s="16" t="s">
        <v>1176</v>
      </c>
      <c r="H15" s="16" t="s">
        <v>561</v>
      </c>
    </row>
    <row r="16" spans="1:8" ht="30" customHeight="1" x14ac:dyDescent="0.3">
      <c r="A16" s="19" t="s">
        <v>557</v>
      </c>
      <c r="B16" s="19" t="s">
        <v>558</v>
      </c>
      <c r="C16" s="20" t="s">
        <v>562</v>
      </c>
      <c r="D16" s="21" t="s">
        <v>563</v>
      </c>
      <c r="E16" s="22">
        <v>1</v>
      </c>
      <c r="F16" s="18" t="s">
        <v>72</v>
      </c>
      <c r="G16" s="21" t="s">
        <v>564</v>
      </c>
      <c r="H16" s="21"/>
    </row>
    <row r="17" spans="1:8" ht="30" customHeight="1" x14ac:dyDescent="0.3">
      <c r="A17" s="14" t="s">
        <v>557</v>
      </c>
      <c r="B17" s="14" t="s">
        <v>558</v>
      </c>
      <c r="C17" s="15" t="s">
        <v>565</v>
      </c>
      <c r="D17" s="16" t="s">
        <v>566</v>
      </c>
      <c r="E17" s="17">
        <v>2</v>
      </c>
      <c r="F17" s="18" t="s">
        <v>72</v>
      </c>
      <c r="G17" s="16" t="s">
        <v>567</v>
      </c>
      <c r="H17" s="16"/>
    </row>
    <row r="18" spans="1:8" ht="30" customHeight="1" x14ac:dyDescent="0.3">
      <c r="A18" s="19" t="s">
        <v>557</v>
      </c>
      <c r="B18" s="19" t="s">
        <v>558</v>
      </c>
      <c r="C18" s="20" t="s">
        <v>568</v>
      </c>
      <c r="D18" s="21" t="s">
        <v>569</v>
      </c>
      <c r="E18" s="17">
        <v>2</v>
      </c>
      <c r="F18" s="18" t="s">
        <v>72</v>
      </c>
      <c r="G18" s="21" t="s">
        <v>570</v>
      </c>
      <c r="H18" s="21"/>
    </row>
    <row r="19" spans="1:8" ht="30" customHeight="1" x14ac:dyDescent="0.3">
      <c r="A19" s="14" t="s">
        <v>557</v>
      </c>
      <c r="B19" s="14" t="s">
        <v>558</v>
      </c>
      <c r="C19" s="15" t="s">
        <v>571</v>
      </c>
      <c r="D19" s="16" t="s">
        <v>572</v>
      </c>
      <c r="E19" s="17">
        <v>2</v>
      </c>
      <c r="F19" s="18" t="s">
        <v>72</v>
      </c>
      <c r="G19" s="16" t="s">
        <v>573</v>
      </c>
      <c r="H19" s="16"/>
    </row>
    <row r="20" spans="1:8" ht="18" customHeight="1" x14ac:dyDescent="0.3">
      <c r="A20" s="13" t="s">
        <v>574</v>
      </c>
      <c r="B20" s="13" t="s">
        <v>575</v>
      </c>
      <c r="C20" s="13"/>
      <c r="D20" s="13"/>
      <c r="E20" s="13"/>
      <c r="F20" s="13"/>
      <c r="G20" s="13"/>
      <c r="H20" s="13"/>
    </row>
    <row r="21" spans="1:8" ht="30" customHeight="1" x14ac:dyDescent="0.3">
      <c r="A21" s="14" t="s">
        <v>574</v>
      </c>
      <c r="B21" s="14" t="s">
        <v>575</v>
      </c>
      <c r="C21" s="15" t="s">
        <v>576</v>
      </c>
      <c r="D21" s="16" t="s">
        <v>577</v>
      </c>
      <c r="E21" s="17">
        <v>2</v>
      </c>
      <c r="F21" s="18" t="s">
        <v>72</v>
      </c>
      <c r="G21" s="16" t="s">
        <v>578</v>
      </c>
      <c r="H21" s="16"/>
    </row>
    <row r="22" spans="1:8" ht="30" customHeight="1" x14ac:dyDescent="0.3">
      <c r="A22" s="19" t="s">
        <v>574</v>
      </c>
      <c r="B22" s="19" t="s">
        <v>575</v>
      </c>
      <c r="C22" s="20" t="s">
        <v>579</v>
      </c>
      <c r="D22" s="21" t="s">
        <v>580</v>
      </c>
      <c r="E22" s="17">
        <v>2</v>
      </c>
      <c r="F22" s="18" t="s">
        <v>72</v>
      </c>
      <c r="G22" s="21" t="s">
        <v>573</v>
      </c>
      <c r="H22" s="21"/>
    </row>
    <row r="23" spans="1:8" ht="30" customHeight="1" x14ac:dyDescent="0.3">
      <c r="A23" s="14" t="s">
        <v>574</v>
      </c>
      <c r="B23" s="14" t="s">
        <v>575</v>
      </c>
      <c r="C23" s="15" t="s">
        <v>581</v>
      </c>
      <c r="D23" s="16" t="s">
        <v>582</v>
      </c>
      <c r="E23" s="23">
        <v>3</v>
      </c>
      <c r="F23" s="18" t="s">
        <v>82</v>
      </c>
      <c r="G23" s="16" t="s">
        <v>1177</v>
      </c>
      <c r="H23" s="16" t="s">
        <v>531</v>
      </c>
    </row>
    <row r="24" spans="1:8" ht="18" customHeight="1" x14ac:dyDescent="0.3">
      <c r="A24" s="13" t="s">
        <v>583</v>
      </c>
      <c r="B24" s="13" t="s">
        <v>584</v>
      </c>
      <c r="C24" s="13"/>
      <c r="D24" s="13"/>
      <c r="E24" s="13"/>
      <c r="F24" s="13"/>
      <c r="G24" s="13"/>
      <c r="H24" s="13"/>
    </row>
    <row r="25" spans="1:8" ht="30" customHeight="1" x14ac:dyDescent="0.3">
      <c r="A25" s="14" t="s">
        <v>583</v>
      </c>
      <c r="B25" s="14" t="s">
        <v>584</v>
      </c>
      <c r="C25" s="15" t="s">
        <v>585</v>
      </c>
      <c r="D25" s="16" t="s">
        <v>586</v>
      </c>
      <c r="E25" s="17">
        <v>2</v>
      </c>
      <c r="F25" s="18" t="s">
        <v>82</v>
      </c>
      <c r="G25" s="16" t="s">
        <v>587</v>
      </c>
      <c r="H25" s="16" t="s">
        <v>588</v>
      </c>
    </row>
    <row r="26" spans="1:8" ht="30" customHeight="1" x14ac:dyDescent="0.3">
      <c r="A26" s="19" t="s">
        <v>583</v>
      </c>
      <c r="B26" s="19" t="s">
        <v>584</v>
      </c>
      <c r="C26" s="20" t="s">
        <v>589</v>
      </c>
      <c r="D26" s="21" t="s">
        <v>590</v>
      </c>
      <c r="E26" s="17">
        <v>2</v>
      </c>
      <c r="F26" s="18" t="s">
        <v>82</v>
      </c>
      <c r="G26" s="21" t="s">
        <v>591</v>
      </c>
      <c r="H26" s="21" t="s">
        <v>561</v>
      </c>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7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zoomScaleNormal="100" workbookViewId="0">
      <pane ySplit="1" topLeftCell="A8" activePane="bottomLeft" state="frozen"/>
      <selection pane="bottomLeft" activeCell="G18" sqref="G18"/>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592</v>
      </c>
      <c r="B2" s="13" t="s">
        <v>593</v>
      </c>
      <c r="C2" s="13"/>
      <c r="D2" s="13"/>
      <c r="E2" s="13"/>
      <c r="F2" s="13"/>
      <c r="G2" s="13"/>
      <c r="H2" s="13"/>
    </row>
    <row r="3" spans="1:8" ht="30" customHeight="1" x14ac:dyDescent="0.3">
      <c r="A3" s="14" t="s">
        <v>592</v>
      </c>
      <c r="B3" s="14" t="s">
        <v>593</v>
      </c>
      <c r="C3" s="15" t="s">
        <v>594</v>
      </c>
      <c r="D3" s="16" t="s">
        <v>595</v>
      </c>
      <c r="E3" s="22">
        <v>1</v>
      </c>
      <c r="F3" s="18" t="s">
        <v>82</v>
      </c>
      <c r="G3" s="16" t="s">
        <v>596</v>
      </c>
      <c r="H3" s="16" t="s">
        <v>531</v>
      </c>
    </row>
    <row r="4" spans="1:8" ht="30" customHeight="1" x14ac:dyDescent="0.3">
      <c r="A4" s="19" t="s">
        <v>592</v>
      </c>
      <c r="B4" s="19" t="s">
        <v>593</v>
      </c>
      <c r="C4" s="20" t="s">
        <v>597</v>
      </c>
      <c r="D4" s="21" t="s">
        <v>598</v>
      </c>
      <c r="E4" s="17">
        <v>2</v>
      </c>
      <c r="F4" s="18" t="s">
        <v>82</v>
      </c>
      <c r="G4" s="21" t="s">
        <v>599</v>
      </c>
      <c r="H4" s="16" t="s">
        <v>531</v>
      </c>
    </row>
    <row r="5" spans="1:8" ht="30" customHeight="1" x14ac:dyDescent="0.3">
      <c r="A5" s="14" t="s">
        <v>592</v>
      </c>
      <c r="B5" s="14" t="s">
        <v>593</v>
      </c>
      <c r="C5" s="15" t="s">
        <v>600</v>
      </c>
      <c r="D5" s="16" t="s">
        <v>601</v>
      </c>
      <c r="E5" s="23">
        <v>3</v>
      </c>
      <c r="F5" s="18" t="s">
        <v>72</v>
      </c>
      <c r="G5" s="16" t="s">
        <v>526</v>
      </c>
      <c r="H5" s="16"/>
    </row>
    <row r="6" spans="1:8" ht="30" customHeight="1" x14ac:dyDescent="0.3">
      <c r="A6" s="19" t="s">
        <v>592</v>
      </c>
      <c r="B6" s="19" t="s">
        <v>593</v>
      </c>
      <c r="C6" s="20" t="s">
        <v>602</v>
      </c>
      <c r="D6" s="21" t="s">
        <v>603</v>
      </c>
      <c r="E6" s="23">
        <v>3</v>
      </c>
      <c r="F6" s="18" t="s">
        <v>72</v>
      </c>
      <c r="G6" s="21" t="s">
        <v>604</v>
      </c>
      <c r="H6" s="21"/>
    </row>
    <row r="7" spans="1:8" ht="18" customHeight="1" x14ac:dyDescent="0.3">
      <c r="A7" s="13" t="s">
        <v>605</v>
      </c>
      <c r="B7" s="13" t="s">
        <v>606</v>
      </c>
      <c r="C7" s="13"/>
      <c r="D7" s="13"/>
      <c r="E7" s="13"/>
      <c r="F7" s="13"/>
      <c r="G7" s="13"/>
      <c r="H7" s="13"/>
    </row>
    <row r="8" spans="1:8" ht="30" customHeight="1" x14ac:dyDescent="0.3">
      <c r="A8" s="14" t="s">
        <v>605</v>
      </c>
      <c r="B8" s="14" t="s">
        <v>606</v>
      </c>
      <c r="C8" s="15" t="s">
        <v>607</v>
      </c>
      <c r="D8" s="16" t="s">
        <v>608</v>
      </c>
      <c r="E8" s="22">
        <v>1</v>
      </c>
      <c r="F8" s="18" t="s">
        <v>82</v>
      </c>
      <c r="G8" s="16" t="s">
        <v>609</v>
      </c>
      <c r="H8" s="16" t="s">
        <v>610</v>
      </c>
    </row>
    <row r="9" spans="1:8" ht="30" customHeight="1" x14ac:dyDescent="0.3">
      <c r="A9" s="19" t="s">
        <v>605</v>
      </c>
      <c r="B9" s="19" t="s">
        <v>606</v>
      </c>
      <c r="C9" s="20" t="s">
        <v>611</v>
      </c>
      <c r="D9" s="21" t="s">
        <v>612</v>
      </c>
      <c r="E9" s="22">
        <v>1</v>
      </c>
      <c r="F9" s="18" t="s">
        <v>82</v>
      </c>
      <c r="G9" s="21" t="s">
        <v>1182</v>
      </c>
      <c r="H9" s="21" t="s">
        <v>613</v>
      </c>
    </row>
    <row r="10" spans="1:8" ht="30" customHeight="1" x14ac:dyDescent="0.3">
      <c r="A10" s="14" t="s">
        <v>605</v>
      </c>
      <c r="B10" s="14" t="s">
        <v>606</v>
      </c>
      <c r="C10" s="15" t="s">
        <v>614</v>
      </c>
      <c r="D10" s="16" t="s">
        <v>615</v>
      </c>
      <c r="E10" s="17">
        <v>2</v>
      </c>
      <c r="F10" s="18" t="s">
        <v>82</v>
      </c>
      <c r="G10" s="16" t="s">
        <v>1183</v>
      </c>
      <c r="H10" s="16" t="s">
        <v>616</v>
      </c>
    </row>
    <row r="11" spans="1:8" ht="30" customHeight="1" x14ac:dyDescent="0.3">
      <c r="A11" s="19" t="s">
        <v>605</v>
      </c>
      <c r="B11" s="19" t="s">
        <v>606</v>
      </c>
      <c r="C11" s="20" t="s">
        <v>617</v>
      </c>
      <c r="D11" s="21" t="s">
        <v>618</v>
      </c>
      <c r="E11" s="23">
        <v>3</v>
      </c>
      <c r="F11" s="18" t="s">
        <v>72</v>
      </c>
      <c r="G11" s="21" t="s">
        <v>526</v>
      </c>
      <c r="H11" s="21"/>
    </row>
    <row r="12" spans="1:8" ht="18" customHeight="1" x14ac:dyDescent="0.3">
      <c r="A12" s="13" t="s">
        <v>619</v>
      </c>
      <c r="B12" s="13" t="s">
        <v>620</v>
      </c>
      <c r="C12" s="13"/>
      <c r="D12" s="13"/>
      <c r="E12" s="13"/>
      <c r="F12" s="13"/>
      <c r="G12" s="13"/>
      <c r="H12" s="13"/>
    </row>
    <row r="13" spans="1:8" ht="30" customHeight="1" x14ac:dyDescent="0.3">
      <c r="A13" s="14" t="s">
        <v>619</v>
      </c>
      <c r="B13" s="14" t="s">
        <v>620</v>
      </c>
      <c r="C13" s="15" t="s">
        <v>621</v>
      </c>
      <c r="D13" s="16" t="s">
        <v>622</v>
      </c>
      <c r="E13" s="22">
        <v>1</v>
      </c>
      <c r="F13" s="18" t="s">
        <v>82</v>
      </c>
      <c r="G13" s="16" t="s">
        <v>1178</v>
      </c>
      <c r="H13" s="16" t="s">
        <v>616</v>
      </c>
    </row>
    <row r="14" spans="1:8" ht="30" customHeight="1" x14ac:dyDescent="0.3">
      <c r="A14" s="19" t="s">
        <v>619</v>
      </c>
      <c r="B14" s="19" t="s">
        <v>620</v>
      </c>
      <c r="C14" s="20" t="s">
        <v>623</v>
      </c>
      <c r="D14" s="21" t="s">
        <v>624</v>
      </c>
      <c r="E14" s="23">
        <v>3</v>
      </c>
      <c r="F14" s="18" t="s">
        <v>82</v>
      </c>
      <c r="G14" s="21" t="s">
        <v>1184</v>
      </c>
      <c r="H14" s="21" t="s">
        <v>613</v>
      </c>
    </row>
    <row r="15" spans="1:8" ht="30" customHeight="1" x14ac:dyDescent="0.3">
      <c r="A15" s="14" t="s">
        <v>619</v>
      </c>
      <c r="B15" s="14" t="s">
        <v>620</v>
      </c>
      <c r="C15" s="15" t="s">
        <v>625</v>
      </c>
      <c r="D15" s="16" t="s">
        <v>626</v>
      </c>
      <c r="E15" s="23">
        <v>3</v>
      </c>
      <c r="F15" s="18" t="s">
        <v>72</v>
      </c>
      <c r="G15" s="16" t="s">
        <v>627</v>
      </c>
      <c r="H15" s="16"/>
    </row>
    <row r="16" spans="1:8" ht="18" customHeight="1" x14ac:dyDescent="0.3">
      <c r="A16" s="13" t="s">
        <v>628</v>
      </c>
      <c r="B16" s="13" t="s">
        <v>629</v>
      </c>
      <c r="C16" s="13"/>
      <c r="D16" s="13"/>
      <c r="E16" s="13"/>
      <c r="F16" s="13"/>
      <c r="G16" s="13"/>
      <c r="H16" s="13"/>
    </row>
    <row r="17" spans="1:8" ht="30" customHeight="1" x14ac:dyDescent="0.3">
      <c r="A17" s="14" t="s">
        <v>628</v>
      </c>
      <c r="B17" s="14" t="s">
        <v>629</v>
      </c>
      <c r="C17" s="15" t="s">
        <v>630</v>
      </c>
      <c r="D17" s="16" t="s">
        <v>631</v>
      </c>
      <c r="E17" s="17">
        <v>2</v>
      </c>
      <c r="F17" s="18" t="s">
        <v>72</v>
      </c>
      <c r="G17" s="16" t="s">
        <v>632</v>
      </c>
      <c r="H17" s="16"/>
    </row>
    <row r="18" spans="1:8" ht="30" customHeight="1" x14ac:dyDescent="0.3">
      <c r="A18" s="19" t="s">
        <v>628</v>
      </c>
      <c r="B18" s="19" t="s">
        <v>629</v>
      </c>
      <c r="C18" s="20" t="s">
        <v>633</v>
      </c>
      <c r="D18" s="21" t="s">
        <v>634</v>
      </c>
      <c r="E18" s="23">
        <v>3</v>
      </c>
      <c r="F18" s="18" t="s">
        <v>72</v>
      </c>
      <c r="G18" s="21" t="s">
        <v>635</v>
      </c>
      <c r="H18" s="21"/>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8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
  <sheetViews>
    <sheetView zoomScaleNormal="100" workbookViewId="0">
      <pane ySplit="1" topLeftCell="A2" activePane="bottomLeft" state="frozen"/>
      <selection pane="bottomLeft" activeCell="F18" sqref="F18"/>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636</v>
      </c>
      <c r="B2" s="13" t="s">
        <v>637</v>
      </c>
      <c r="C2" s="13"/>
      <c r="D2" s="13"/>
      <c r="E2" s="13"/>
      <c r="F2" s="13"/>
      <c r="G2" s="13"/>
      <c r="H2" s="13"/>
    </row>
    <row r="3" spans="1:8" ht="30" customHeight="1" x14ac:dyDescent="0.3">
      <c r="A3" s="14" t="s">
        <v>636</v>
      </c>
      <c r="B3" s="14" t="s">
        <v>637</v>
      </c>
      <c r="C3" s="15" t="s">
        <v>638</v>
      </c>
      <c r="D3" s="16" t="s">
        <v>639</v>
      </c>
      <c r="E3" s="22">
        <v>1</v>
      </c>
      <c r="F3" s="18" t="s">
        <v>82</v>
      </c>
      <c r="G3" s="16" t="s">
        <v>640</v>
      </c>
      <c r="H3" s="16" t="s">
        <v>641</v>
      </c>
    </row>
    <row r="4" spans="1:8" ht="30" customHeight="1" x14ac:dyDescent="0.3">
      <c r="A4" s="19" t="s">
        <v>636</v>
      </c>
      <c r="B4" s="19" t="s">
        <v>637</v>
      </c>
      <c r="C4" s="20" t="s">
        <v>642</v>
      </c>
      <c r="D4" s="21" t="s">
        <v>643</v>
      </c>
      <c r="E4" s="22">
        <v>1</v>
      </c>
      <c r="F4" s="18" t="s">
        <v>82</v>
      </c>
      <c r="G4" s="21" t="s">
        <v>1180</v>
      </c>
      <c r="H4" s="21" t="s">
        <v>644</v>
      </c>
    </row>
    <row r="5" spans="1:8" ht="30" customHeight="1" x14ac:dyDescent="0.3">
      <c r="A5" s="14" t="s">
        <v>636</v>
      </c>
      <c r="B5" s="14" t="s">
        <v>637</v>
      </c>
      <c r="C5" s="15" t="s">
        <v>645</v>
      </c>
      <c r="D5" s="16" t="s">
        <v>646</v>
      </c>
      <c r="E5" s="22">
        <v>1</v>
      </c>
      <c r="F5" s="18" t="s">
        <v>82</v>
      </c>
      <c r="G5" s="16" t="s">
        <v>647</v>
      </c>
      <c r="H5" s="16" t="s">
        <v>648</v>
      </c>
    </row>
    <row r="6" spans="1:8" ht="18" customHeight="1" x14ac:dyDescent="0.3">
      <c r="A6" s="13" t="s">
        <v>649</v>
      </c>
      <c r="B6" s="13" t="s">
        <v>650</v>
      </c>
      <c r="C6" s="13"/>
      <c r="D6" s="13"/>
      <c r="E6" s="13"/>
      <c r="F6" s="13"/>
      <c r="G6" s="13"/>
      <c r="H6" s="13"/>
    </row>
    <row r="7" spans="1:8" ht="30" customHeight="1" x14ac:dyDescent="0.3">
      <c r="A7" s="14" t="s">
        <v>649</v>
      </c>
      <c r="B7" s="14" t="s">
        <v>650</v>
      </c>
      <c r="C7" s="15" t="s">
        <v>651</v>
      </c>
      <c r="D7" s="16" t="s">
        <v>652</v>
      </c>
      <c r="E7" s="22">
        <v>1</v>
      </c>
      <c r="F7" s="18" t="s">
        <v>82</v>
      </c>
      <c r="G7" s="16" t="s">
        <v>653</v>
      </c>
      <c r="H7" s="16" t="s">
        <v>531</v>
      </c>
    </row>
    <row r="8" spans="1:8" ht="30" customHeight="1" x14ac:dyDescent="0.3">
      <c r="A8" s="19" t="s">
        <v>649</v>
      </c>
      <c r="B8" s="19" t="s">
        <v>650</v>
      </c>
      <c r="C8" s="20" t="s">
        <v>654</v>
      </c>
      <c r="D8" s="21" t="s">
        <v>655</v>
      </c>
      <c r="E8" s="17">
        <v>2</v>
      </c>
      <c r="F8" s="18" t="s">
        <v>82</v>
      </c>
      <c r="G8" s="21" t="s">
        <v>1179</v>
      </c>
      <c r="H8" s="21" t="s">
        <v>641</v>
      </c>
    </row>
    <row r="9" spans="1:8" ht="30" customHeight="1" x14ac:dyDescent="0.3">
      <c r="A9" s="14" t="s">
        <v>649</v>
      </c>
      <c r="B9" s="14" t="s">
        <v>650</v>
      </c>
      <c r="C9" s="15" t="s">
        <v>656</v>
      </c>
      <c r="D9" s="16" t="s">
        <v>657</v>
      </c>
      <c r="E9" s="17">
        <v>2</v>
      </c>
      <c r="F9" s="18" t="s">
        <v>82</v>
      </c>
      <c r="G9" s="16" t="s">
        <v>658</v>
      </c>
      <c r="H9" s="16" t="s">
        <v>659</v>
      </c>
    </row>
    <row r="10" spans="1:8" ht="30" customHeight="1" x14ac:dyDescent="0.3">
      <c r="A10" s="19" t="s">
        <v>649</v>
      </c>
      <c r="B10" s="19" t="s">
        <v>650</v>
      </c>
      <c r="C10" s="20" t="s">
        <v>660</v>
      </c>
      <c r="D10" s="21" t="s">
        <v>661</v>
      </c>
      <c r="E10" s="17">
        <v>2</v>
      </c>
      <c r="F10" s="18" t="s">
        <v>82</v>
      </c>
      <c r="G10" s="21" t="s">
        <v>1181</v>
      </c>
      <c r="H10" s="21" t="s">
        <v>613</v>
      </c>
    </row>
  </sheetData>
  <conditionalFormatting sqref="F2:F10">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0" xr:uid="{00000000-0002-0000-09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4"/>
  <sheetViews>
    <sheetView topLeftCell="B1" zoomScale="105" zoomScaleNormal="75" workbookViewId="0">
      <pane ySplit="1" topLeftCell="A32" activePane="bottomLeft" state="frozen"/>
      <selection pane="bottomLeft" activeCell="I48" sqref="I48"/>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662</v>
      </c>
      <c r="B2" s="13" t="s">
        <v>663</v>
      </c>
      <c r="C2" s="13"/>
      <c r="D2" s="13"/>
      <c r="E2" s="13"/>
      <c r="F2" s="13"/>
      <c r="G2" s="13"/>
      <c r="H2" s="13"/>
    </row>
    <row r="3" spans="1:8" ht="30" customHeight="1" x14ac:dyDescent="0.3">
      <c r="A3" s="14" t="s">
        <v>662</v>
      </c>
      <c r="B3" s="14" t="s">
        <v>663</v>
      </c>
      <c r="C3" s="15" t="s">
        <v>664</v>
      </c>
      <c r="D3" s="16" t="s">
        <v>665</v>
      </c>
      <c r="E3" s="17">
        <v>2</v>
      </c>
      <c r="F3" s="18" t="s">
        <v>82</v>
      </c>
      <c r="G3" s="16" t="s">
        <v>1185</v>
      </c>
      <c r="H3" s="16" t="s">
        <v>641</v>
      </c>
    </row>
    <row r="4" spans="1:8" ht="30" customHeight="1" x14ac:dyDescent="0.3">
      <c r="A4" s="19" t="s">
        <v>662</v>
      </c>
      <c r="B4" s="19" t="s">
        <v>663</v>
      </c>
      <c r="C4" s="20" t="s">
        <v>666</v>
      </c>
      <c r="D4" s="21" t="s">
        <v>667</v>
      </c>
      <c r="E4" s="17">
        <v>2</v>
      </c>
      <c r="F4" s="18" t="s">
        <v>82</v>
      </c>
      <c r="G4" s="21" t="s">
        <v>668</v>
      </c>
      <c r="H4" s="21" t="s">
        <v>641</v>
      </c>
    </row>
    <row r="5" spans="1:8" ht="18" customHeight="1" x14ac:dyDescent="0.3">
      <c r="A5" s="13" t="s">
        <v>669</v>
      </c>
      <c r="B5" s="13" t="s">
        <v>670</v>
      </c>
      <c r="C5" s="13"/>
      <c r="D5" s="13"/>
      <c r="E5" s="13"/>
      <c r="F5" s="13"/>
      <c r="G5" s="13"/>
      <c r="H5" s="13"/>
    </row>
    <row r="6" spans="1:8" ht="30" customHeight="1" x14ac:dyDescent="0.3">
      <c r="A6" s="14" t="s">
        <v>669</v>
      </c>
      <c r="B6" s="14" t="s">
        <v>670</v>
      </c>
      <c r="C6" s="15" t="s">
        <v>671</v>
      </c>
      <c r="D6" s="16" t="s">
        <v>672</v>
      </c>
      <c r="E6" s="17">
        <v>2</v>
      </c>
      <c r="F6" s="18" t="s">
        <v>72</v>
      </c>
      <c r="G6" s="16" t="s">
        <v>673</v>
      </c>
      <c r="H6" s="16"/>
    </row>
    <row r="7" spans="1:8" ht="30" customHeight="1" x14ac:dyDescent="0.3">
      <c r="A7" s="19" t="s">
        <v>669</v>
      </c>
      <c r="B7" s="19" t="s">
        <v>670</v>
      </c>
      <c r="C7" s="20" t="s">
        <v>674</v>
      </c>
      <c r="D7" s="21" t="s">
        <v>675</v>
      </c>
      <c r="E7" s="17">
        <v>2</v>
      </c>
      <c r="F7" s="18" t="s">
        <v>72</v>
      </c>
      <c r="G7" s="21" t="s">
        <v>676</v>
      </c>
      <c r="H7" s="21"/>
    </row>
    <row r="8" spans="1:8" ht="30" customHeight="1" x14ac:dyDescent="0.3">
      <c r="A8" s="14" t="s">
        <v>669</v>
      </c>
      <c r="B8" s="14" t="s">
        <v>670</v>
      </c>
      <c r="C8" s="15" t="s">
        <v>677</v>
      </c>
      <c r="D8" s="16" t="s">
        <v>678</v>
      </c>
      <c r="E8" s="23">
        <v>3</v>
      </c>
      <c r="F8" s="18" t="s">
        <v>72</v>
      </c>
      <c r="G8" s="16" t="s">
        <v>1186</v>
      </c>
      <c r="H8" s="16"/>
    </row>
    <row r="9" spans="1:8" ht="18" customHeight="1" x14ac:dyDescent="0.3">
      <c r="A9" s="13" t="s">
        <v>679</v>
      </c>
      <c r="B9" s="13" t="s">
        <v>680</v>
      </c>
      <c r="C9" s="13"/>
      <c r="D9" s="13"/>
      <c r="E9" s="13"/>
      <c r="F9" s="13"/>
      <c r="G9" s="13"/>
      <c r="H9" s="13"/>
    </row>
    <row r="10" spans="1:8" ht="30" customHeight="1" x14ac:dyDescent="0.3">
      <c r="A10" s="14" t="s">
        <v>679</v>
      </c>
      <c r="B10" s="14" t="s">
        <v>680</v>
      </c>
      <c r="C10" s="15" t="s">
        <v>681</v>
      </c>
      <c r="D10" s="16" t="s">
        <v>682</v>
      </c>
      <c r="E10" s="17">
        <v>2</v>
      </c>
      <c r="F10" s="18" t="s">
        <v>82</v>
      </c>
      <c r="G10" s="16" t="s">
        <v>683</v>
      </c>
      <c r="H10" s="16" t="s">
        <v>659</v>
      </c>
    </row>
    <row r="11" spans="1:8" ht="30" customHeight="1" x14ac:dyDescent="0.3">
      <c r="A11" s="19" t="s">
        <v>679</v>
      </c>
      <c r="B11" s="19" t="s">
        <v>680</v>
      </c>
      <c r="C11" s="20" t="s">
        <v>684</v>
      </c>
      <c r="D11" s="21" t="s">
        <v>685</v>
      </c>
      <c r="E11" s="17">
        <v>2</v>
      </c>
      <c r="F11" s="18" t="s">
        <v>82</v>
      </c>
      <c r="G11" s="21" t="s">
        <v>686</v>
      </c>
      <c r="H11" s="21" t="s">
        <v>641</v>
      </c>
    </row>
    <row r="12" spans="1:8" ht="30" customHeight="1" x14ac:dyDescent="0.3">
      <c r="A12" s="14" t="s">
        <v>679</v>
      </c>
      <c r="B12" s="14" t="s">
        <v>680</v>
      </c>
      <c r="C12" s="15" t="s">
        <v>687</v>
      </c>
      <c r="D12" s="16" t="s">
        <v>688</v>
      </c>
      <c r="E12" s="17">
        <v>2</v>
      </c>
      <c r="F12" s="18" t="s">
        <v>82</v>
      </c>
      <c r="G12" s="16" t="s">
        <v>689</v>
      </c>
      <c r="H12" s="16" t="s">
        <v>641</v>
      </c>
    </row>
    <row r="13" spans="1:8" ht="30" customHeight="1" x14ac:dyDescent="0.3">
      <c r="A13" s="19" t="s">
        <v>679</v>
      </c>
      <c r="B13" s="19" t="s">
        <v>680</v>
      </c>
      <c r="C13" s="20" t="s">
        <v>690</v>
      </c>
      <c r="D13" s="21" t="s">
        <v>691</v>
      </c>
      <c r="E13" s="17">
        <v>2</v>
      </c>
      <c r="F13" s="18" t="s">
        <v>72</v>
      </c>
      <c r="G13" s="21" t="s">
        <v>692</v>
      </c>
      <c r="H13" s="21"/>
    </row>
    <row r="14" spans="1:8" ht="30" customHeight="1" x14ac:dyDescent="0.3">
      <c r="A14" s="14" t="s">
        <v>679</v>
      </c>
      <c r="B14" s="14" t="s">
        <v>680</v>
      </c>
      <c r="C14" s="15" t="s">
        <v>693</v>
      </c>
      <c r="D14" s="16" t="s">
        <v>694</v>
      </c>
      <c r="E14" s="23">
        <v>3</v>
      </c>
      <c r="F14" s="18" t="s">
        <v>72</v>
      </c>
      <c r="G14" s="16" t="s">
        <v>695</v>
      </c>
      <c r="H14" s="16"/>
    </row>
    <row r="15" spans="1:8" ht="18" customHeight="1" x14ac:dyDescent="0.3">
      <c r="A15" s="13" t="s">
        <v>696</v>
      </c>
      <c r="B15" s="13" t="s">
        <v>697</v>
      </c>
      <c r="C15" s="13"/>
      <c r="D15" s="13"/>
      <c r="E15" s="13"/>
      <c r="F15" s="13"/>
      <c r="G15" s="13"/>
      <c r="H15" s="13"/>
    </row>
    <row r="16" spans="1:8" ht="30" customHeight="1" x14ac:dyDescent="0.3">
      <c r="A16" s="14" t="s">
        <v>696</v>
      </c>
      <c r="B16" s="14" t="s">
        <v>697</v>
      </c>
      <c r="C16" s="15" t="s">
        <v>698</v>
      </c>
      <c r="D16" s="16" t="s">
        <v>699</v>
      </c>
      <c r="E16" s="22">
        <v>1</v>
      </c>
      <c r="F16" s="18" t="s">
        <v>82</v>
      </c>
      <c r="G16" s="16" t="s">
        <v>700</v>
      </c>
      <c r="H16" s="29" t="s">
        <v>701</v>
      </c>
    </row>
    <row r="17" spans="1:8" ht="30" customHeight="1" x14ac:dyDescent="0.3">
      <c r="A17" s="19" t="s">
        <v>696</v>
      </c>
      <c r="B17" s="19" t="s">
        <v>697</v>
      </c>
      <c r="C17" s="20" t="s">
        <v>702</v>
      </c>
      <c r="D17" s="21" t="s">
        <v>703</v>
      </c>
      <c r="E17" s="22">
        <v>1</v>
      </c>
      <c r="F17" s="18" t="s">
        <v>82</v>
      </c>
      <c r="G17" s="21" t="s">
        <v>704</v>
      </c>
      <c r="H17" s="29" t="s">
        <v>705</v>
      </c>
    </row>
    <row r="18" spans="1:8" ht="30" customHeight="1" x14ac:dyDescent="0.3">
      <c r="A18" s="14" t="s">
        <v>696</v>
      </c>
      <c r="B18" s="14" t="s">
        <v>697</v>
      </c>
      <c r="C18" s="15" t="s">
        <v>706</v>
      </c>
      <c r="D18" s="16" t="s">
        <v>707</v>
      </c>
      <c r="E18" s="22">
        <v>1</v>
      </c>
      <c r="F18" s="18" t="s">
        <v>82</v>
      </c>
      <c r="G18" s="16" t="s">
        <v>708</v>
      </c>
      <c r="H18" s="29" t="s">
        <v>705</v>
      </c>
    </row>
    <row r="19" spans="1:8" ht="30" customHeight="1" x14ac:dyDescent="0.3">
      <c r="A19" s="19" t="s">
        <v>696</v>
      </c>
      <c r="B19" s="19" t="s">
        <v>697</v>
      </c>
      <c r="C19" s="20" t="s">
        <v>709</v>
      </c>
      <c r="D19" s="21" t="s">
        <v>710</v>
      </c>
      <c r="E19" s="22">
        <v>1</v>
      </c>
      <c r="F19" s="18" t="s">
        <v>82</v>
      </c>
      <c r="G19" s="21" t="s">
        <v>711</v>
      </c>
      <c r="H19" s="29" t="s">
        <v>399</v>
      </c>
    </row>
    <row r="20" spans="1:8" ht="30" customHeight="1" x14ac:dyDescent="0.3">
      <c r="A20" s="14" t="s">
        <v>696</v>
      </c>
      <c r="B20" s="14" t="s">
        <v>697</v>
      </c>
      <c r="C20" s="15" t="s">
        <v>712</v>
      </c>
      <c r="D20" s="16" t="s">
        <v>713</v>
      </c>
      <c r="E20" s="22">
        <v>1</v>
      </c>
      <c r="F20" s="18" t="s">
        <v>82</v>
      </c>
      <c r="G20" s="16" t="s">
        <v>714</v>
      </c>
      <c r="H20" s="29" t="s">
        <v>715</v>
      </c>
    </row>
    <row r="21" spans="1:8" ht="30" customHeight="1" x14ac:dyDescent="0.3">
      <c r="A21" s="19" t="s">
        <v>696</v>
      </c>
      <c r="B21" s="19" t="s">
        <v>697</v>
      </c>
      <c r="C21" s="20" t="s">
        <v>716</v>
      </c>
      <c r="D21" s="21" t="s">
        <v>717</v>
      </c>
      <c r="E21" s="17">
        <v>2</v>
      </c>
      <c r="F21" s="18" t="s">
        <v>82</v>
      </c>
      <c r="G21" s="21" t="s">
        <v>718</v>
      </c>
      <c r="H21" s="29" t="s">
        <v>719</v>
      </c>
    </row>
    <row r="22" spans="1:8" ht="30" customHeight="1" x14ac:dyDescent="0.3">
      <c r="A22" s="14" t="s">
        <v>696</v>
      </c>
      <c r="B22" s="14" t="s">
        <v>697</v>
      </c>
      <c r="C22" s="15" t="s">
        <v>720</v>
      </c>
      <c r="D22" s="16" t="s">
        <v>721</v>
      </c>
      <c r="E22" s="17">
        <v>2</v>
      </c>
      <c r="F22" s="18" t="s">
        <v>72</v>
      </c>
      <c r="G22" s="16" t="s">
        <v>722</v>
      </c>
      <c r="H22" s="16"/>
    </row>
    <row r="23" spans="1:8" ht="30" customHeight="1" x14ac:dyDescent="0.3">
      <c r="A23" s="19" t="s">
        <v>696</v>
      </c>
      <c r="B23" s="19" t="s">
        <v>697</v>
      </c>
      <c r="C23" s="20" t="s">
        <v>723</v>
      </c>
      <c r="D23" s="21" t="s">
        <v>724</v>
      </c>
      <c r="E23" s="17">
        <v>2</v>
      </c>
      <c r="F23" s="18" t="s">
        <v>82</v>
      </c>
      <c r="G23" s="21" t="s">
        <v>725</v>
      </c>
      <c r="H23" s="29" t="s">
        <v>726</v>
      </c>
    </row>
    <row r="24" spans="1:8" ht="30" customHeight="1" x14ac:dyDescent="0.3">
      <c r="A24" s="14" t="s">
        <v>696</v>
      </c>
      <c r="B24" s="14" t="s">
        <v>697</v>
      </c>
      <c r="C24" s="15" t="s">
        <v>727</v>
      </c>
      <c r="D24" s="16" t="s">
        <v>728</v>
      </c>
      <c r="E24" s="17">
        <v>2</v>
      </c>
      <c r="F24" s="18" t="s">
        <v>82</v>
      </c>
      <c r="G24" s="16" t="s">
        <v>729</v>
      </c>
      <c r="H24" s="29" t="s">
        <v>730</v>
      </c>
    </row>
    <row r="25" spans="1:8" ht="30" customHeight="1" x14ac:dyDescent="0.3">
      <c r="A25" s="19" t="s">
        <v>696</v>
      </c>
      <c r="B25" s="19" t="s">
        <v>697</v>
      </c>
      <c r="C25" s="20" t="s">
        <v>731</v>
      </c>
      <c r="D25" s="21" t="s">
        <v>732</v>
      </c>
      <c r="E25" s="17">
        <v>2</v>
      </c>
      <c r="F25" s="18" t="s">
        <v>82</v>
      </c>
      <c r="G25" s="21" t="s">
        <v>733</v>
      </c>
      <c r="H25" s="29" t="s">
        <v>734</v>
      </c>
    </row>
    <row r="26" spans="1:8" ht="30" customHeight="1" x14ac:dyDescent="0.3">
      <c r="A26" s="14" t="s">
        <v>696</v>
      </c>
      <c r="B26" s="14" t="s">
        <v>697</v>
      </c>
      <c r="C26" s="15" t="s">
        <v>735</v>
      </c>
      <c r="D26" s="16" t="s">
        <v>736</v>
      </c>
      <c r="E26" s="17">
        <v>2</v>
      </c>
      <c r="F26" s="18" t="s">
        <v>82</v>
      </c>
      <c r="G26" s="16" t="s">
        <v>737</v>
      </c>
      <c r="H26" s="28" t="s">
        <v>738</v>
      </c>
    </row>
    <row r="27" spans="1:8" ht="30" customHeight="1" x14ac:dyDescent="0.3">
      <c r="A27" s="19" t="s">
        <v>696</v>
      </c>
      <c r="B27" s="19" t="s">
        <v>697</v>
      </c>
      <c r="C27" s="20" t="s">
        <v>739</v>
      </c>
      <c r="D27" s="21" t="s">
        <v>740</v>
      </c>
      <c r="E27" s="23">
        <v>3</v>
      </c>
      <c r="F27" s="18" t="s">
        <v>72</v>
      </c>
      <c r="G27" s="21" t="s">
        <v>741</v>
      </c>
      <c r="H27" s="21"/>
    </row>
    <row r="28" spans="1:8" ht="30" customHeight="1" x14ac:dyDescent="0.3">
      <c r="A28" s="14" t="s">
        <v>696</v>
      </c>
      <c r="B28" s="14" t="s">
        <v>697</v>
      </c>
      <c r="C28" s="15" t="s">
        <v>742</v>
      </c>
      <c r="D28" s="16" t="s">
        <v>743</v>
      </c>
      <c r="E28" s="23">
        <v>3</v>
      </c>
      <c r="F28" s="18" t="s">
        <v>72</v>
      </c>
      <c r="G28" s="16" t="s">
        <v>744</v>
      </c>
      <c r="H28" s="16"/>
    </row>
    <row r="29" spans="1:8" ht="30" customHeight="1" x14ac:dyDescent="0.3">
      <c r="A29" s="19" t="s">
        <v>696</v>
      </c>
      <c r="B29" s="19" t="s">
        <v>697</v>
      </c>
      <c r="C29" s="20" t="s">
        <v>745</v>
      </c>
      <c r="D29" s="21" t="s">
        <v>746</v>
      </c>
      <c r="E29" s="23">
        <v>3</v>
      </c>
      <c r="F29" s="18" t="s">
        <v>72</v>
      </c>
      <c r="G29" s="21" t="s">
        <v>747</v>
      </c>
      <c r="H29" s="21"/>
    </row>
    <row r="30" spans="1:8" ht="30" customHeight="1" x14ac:dyDescent="0.3">
      <c r="A30" s="14" t="s">
        <v>696</v>
      </c>
      <c r="B30" s="14" t="s">
        <v>697</v>
      </c>
      <c r="C30" s="15" t="s">
        <v>748</v>
      </c>
      <c r="D30" s="16" t="s">
        <v>749</v>
      </c>
      <c r="E30" s="23">
        <v>3</v>
      </c>
      <c r="F30" s="18" t="s">
        <v>72</v>
      </c>
      <c r="G30" s="16" t="s">
        <v>750</v>
      </c>
      <c r="H30" s="16"/>
    </row>
    <row r="31" spans="1:8" ht="30" customHeight="1" x14ac:dyDescent="0.3">
      <c r="A31" s="19" t="s">
        <v>696</v>
      </c>
      <c r="B31" s="19" t="s">
        <v>697</v>
      </c>
      <c r="C31" s="20" t="s">
        <v>751</v>
      </c>
      <c r="D31" s="21" t="s">
        <v>752</v>
      </c>
      <c r="E31" s="23">
        <v>3</v>
      </c>
      <c r="F31" s="18" t="s">
        <v>72</v>
      </c>
      <c r="G31" s="21" t="s">
        <v>753</v>
      </c>
      <c r="H31" s="21"/>
    </row>
    <row r="32" spans="1:8" ht="18" customHeight="1" x14ac:dyDescent="0.3">
      <c r="A32" s="13" t="s">
        <v>754</v>
      </c>
      <c r="B32" s="13" t="s">
        <v>755</v>
      </c>
      <c r="C32" s="13"/>
      <c r="D32" s="13"/>
      <c r="E32" s="13"/>
      <c r="F32" s="13"/>
      <c r="G32" s="13"/>
      <c r="H32" s="13"/>
    </row>
    <row r="33" spans="1:8" ht="30" customHeight="1" x14ac:dyDescent="0.3">
      <c r="A33" s="14" t="s">
        <v>754</v>
      </c>
      <c r="B33" s="14" t="s">
        <v>755</v>
      </c>
      <c r="C33" s="15" t="s">
        <v>756</v>
      </c>
      <c r="D33" s="16" t="s">
        <v>757</v>
      </c>
      <c r="E33" s="17">
        <v>2</v>
      </c>
      <c r="F33" s="18" t="s">
        <v>72</v>
      </c>
      <c r="G33" s="16" t="s">
        <v>758</v>
      </c>
      <c r="H33" s="16"/>
    </row>
    <row r="34" spans="1:8" ht="30" customHeight="1" x14ac:dyDescent="0.3">
      <c r="A34" s="19" t="s">
        <v>754</v>
      </c>
      <c r="B34" s="19" t="s">
        <v>755</v>
      </c>
      <c r="C34" s="20" t="s">
        <v>759</v>
      </c>
      <c r="D34" s="21" t="s">
        <v>760</v>
      </c>
      <c r="E34" s="17">
        <v>2</v>
      </c>
      <c r="F34" s="18" t="s">
        <v>82</v>
      </c>
      <c r="G34" s="21" t="s">
        <v>761</v>
      </c>
      <c r="H34" s="21" t="s">
        <v>616</v>
      </c>
    </row>
    <row r="35" spans="1:8" ht="30" customHeight="1" x14ac:dyDescent="0.3">
      <c r="A35" s="14" t="s">
        <v>754</v>
      </c>
      <c r="B35" s="14" t="s">
        <v>755</v>
      </c>
      <c r="C35" s="15" t="s">
        <v>762</v>
      </c>
      <c r="D35" s="16" t="s">
        <v>763</v>
      </c>
      <c r="E35" s="17">
        <v>2</v>
      </c>
      <c r="F35" s="18" t="s">
        <v>72</v>
      </c>
      <c r="G35" s="16" t="s">
        <v>764</v>
      </c>
      <c r="H35" s="16"/>
    </row>
    <row r="36" spans="1:8" ht="30" customHeight="1" x14ac:dyDescent="0.3">
      <c r="A36" s="19" t="s">
        <v>754</v>
      </c>
      <c r="B36" s="19" t="s">
        <v>755</v>
      </c>
      <c r="C36" s="20" t="s">
        <v>765</v>
      </c>
      <c r="D36" s="21" t="s">
        <v>766</v>
      </c>
      <c r="E36" s="17">
        <v>2</v>
      </c>
      <c r="F36" s="18" t="s">
        <v>72</v>
      </c>
      <c r="G36" s="21" t="s">
        <v>767</v>
      </c>
      <c r="H36" s="21"/>
    </row>
    <row r="37" spans="1:8" ht="30" customHeight="1" x14ac:dyDescent="0.3">
      <c r="A37" s="14" t="s">
        <v>754</v>
      </c>
      <c r="B37" s="14" t="s">
        <v>755</v>
      </c>
      <c r="C37" s="15" t="s">
        <v>768</v>
      </c>
      <c r="D37" s="16" t="s">
        <v>769</v>
      </c>
      <c r="E37" s="17">
        <v>2</v>
      </c>
      <c r="F37" s="18" t="s">
        <v>72</v>
      </c>
      <c r="G37" s="16" t="s">
        <v>770</v>
      </c>
      <c r="H37" s="16"/>
    </row>
    <row r="38" spans="1:8" ht="18" customHeight="1" x14ac:dyDescent="0.3">
      <c r="A38" s="13" t="s">
        <v>771</v>
      </c>
      <c r="B38" s="13" t="s">
        <v>772</v>
      </c>
      <c r="C38" s="13"/>
      <c r="D38" s="13"/>
      <c r="E38" s="13"/>
      <c r="F38" s="13"/>
      <c r="G38" s="13"/>
      <c r="H38" s="13"/>
    </row>
    <row r="39" spans="1:8" ht="30" customHeight="1" x14ac:dyDescent="0.3">
      <c r="A39" s="14" t="s">
        <v>771</v>
      </c>
      <c r="B39" s="14" t="s">
        <v>772</v>
      </c>
      <c r="C39" s="15" t="s">
        <v>773</v>
      </c>
      <c r="D39" s="16" t="s">
        <v>774</v>
      </c>
      <c r="E39" s="17">
        <v>2</v>
      </c>
      <c r="F39" s="18" t="s">
        <v>82</v>
      </c>
      <c r="G39" s="16" t="s">
        <v>775</v>
      </c>
      <c r="H39" s="29" t="s">
        <v>399</v>
      </c>
    </row>
    <row r="40" spans="1:8" ht="30" customHeight="1" x14ac:dyDescent="0.3">
      <c r="A40" s="19" t="s">
        <v>771</v>
      </c>
      <c r="B40" s="19" t="s">
        <v>772</v>
      </c>
      <c r="C40" s="20" t="s">
        <v>776</v>
      </c>
      <c r="D40" s="21" t="s">
        <v>777</v>
      </c>
      <c r="E40" s="17">
        <v>2</v>
      </c>
      <c r="F40" s="18" t="s">
        <v>82</v>
      </c>
      <c r="G40" s="21" t="s">
        <v>778</v>
      </c>
      <c r="H40" s="29" t="s">
        <v>779</v>
      </c>
    </row>
    <row r="41" spans="1:8" ht="18" customHeight="1" x14ac:dyDescent="0.3">
      <c r="A41" s="13" t="s">
        <v>780</v>
      </c>
      <c r="B41" s="13" t="s">
        <v>781</v>
      </c>
      <c r="C41" s="13"/>
      <c r="D41" s="13"/>
      <c r="E41" s="13"/>
      <c r="F41" s="13"/>
      <c r="G41" s="13"/>
      <c r="H41" s="13"/>
    </row>
    <row r="42" spans="1:8" ht="30" customHeight="1" x14ac:dyDescent="0.3">
      <c r="A42" s="14" t="s">
        <v>780</v>
      </c>
      <c r="B42" s="14" t="s">
        <v>781</v>
      </c>
      <c r="C42" s="15" t="s">
        <v>782</v>
      </c>
      <c r="D42" s="16" t="s">
        <v>783</v>
      </c>
      <c r="E42" s="17">
        <v>2</v>
      </c>
      <c r="F42" s="18" t="s">
        <v>82</v>
      </c>
      <c r="G42" s="16" t="s">
        <v>784</v>
      </c>
      <c r="H42" s="29" t="s">
        <v>738</v>
      </c>
    </row>
    <row r="43" spans="1:8" ht="30" customHeight="1" x14ac:dyDescent="0.3">
      <c r="A43" s="19" t="s">
        <v>780</v>
      </c>
      <c r="B43" s="19" t="s">
        <v>781</v>
      </c>
      <c r="C43" s="20" t="s">
        <v>785</v>
      </c>
      <c r="D43" s="21" t="s">
        <v>786</v>
      </c>
      <c r="E43" s="17">
        <v>2</v>
      </c>
      <c r="F43" s="18" t="s">
        <v>82</v>
      </c>
      <c r="G43" s="21" t="s">
        <v>787</v>
      </c>
      <c r="H43" s="29" t="s">
        <v>738</v>
      </c>
    </row>
    <row r="44" spans="1:8" ht="30" customHeight="1" x14ac:dyDescent="0.3">
      <c r="A44" s="14" t="s">
        <v>780</v>
      </c>
      <c r="B44" s="14" t="s">
        <v>781</v>
      </c>
      <c r="C44" s="15" t="s">
        <v>788</v>
      </c>
      <c r="D44" s="16" t="s">
        <v>789</v>
      </c>
      <c r="E44" s="17">
        <v>2</v>
      </c>
      <c r="F44" s="18" t="s">
        <v>72</v>
      </c>
      <c r="G44" s="16" t="s">
        <v>790</v>
      </c>
      <c r="H44" s="16"/>
    </row>
  </sheetData>
  <conditionalFormatting sqref="F2:F44">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44" xr:uid="{00000000-0002-0000-0A00-000000000000}">
      <formula1>"Not Started,In Progress,Compliant,Not Applicable"</formula1>
      <formula2>0</formula2>
    </dataValidation>
  </dataValidations>
  <hyperlinks>
    <hyperlink ref="H16" r:id="rId1" xr:uid="{7697DF06-9805-4769-9529-BC9CB226C70C}"/>
    <hyperlink ref="H17" r:id="rId2" xr:uid="{ED59CA9F-0C91-4806-8D81-99A6BAB1E887}"/>
    <hyperlink ref="H18" r:id="rId3" xr:uid="{B8CEB33B-86E0-493A-9A3A-84A70ED66304}"/>
    <hyperlink ref="H19" r:id="rId4" xr:uid="{FA4040DA-3246-424D-B54A-8ED4916C3754}"/>
    <hyperlink ref="H20" r:id="rId5" xr:uid="{144EE789-53FA-4D29-BF6E-4E0EEC243FA5}"/>
    <hyperlink ref="H21" r:id="rId6" xr:uid="{17C05F1E-6E7D-483D-8EA2-F2B562147080}"/>
    <hyperlink ref="H23" r:id="rId7" xr:uid="{0F1CF4E9-658D-4A8E-A78D-24D121F96936}"/>
    <hyperlink ref="H24" r:id="rId8" xr:uid="{B6F137D1-5310-4C25-BA70-E0A0046B5FC8}"/>
    <hyperlink ref="H25" r:id="rId9" xr:uid="{3CF1EAA3-AF7E-4945-8CB9-A17DB01D09E6}"/>
    <hyperlink ref="H26" r:id="rId10" xr:uid="{0ED94275-1F81-4933-9802-E8288672186F}"/>
    <hyperlink ref="H39" r:id="rId11" xr:uid="{B08F2C0C-25A8-4DB1-A215-715A30F0B13E}"/>
    <hyperlink ref="H40" r:id="rId12" xr:uid="{9D409636-9EDB-4221-A707-CAE555EA17B0}"/>
    <hyperlink ref="H42" r:id="rId13" xr:uid="{9A73911B-1952-4F24-945A-CC0949E4717A}"/>
    <hyperlink ref="H43" r:id="rId14" xr:uid="{E0D9B16B-F593-48D5-9875-CA145A019AFD}"/>
  </hyperlinks>
  <pageMargins left="0.75" right="0.75" top="1" bottom="1"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2"/>
  <sheetViews>
    <sheetView topLeftCell="C1" zoomScale="104" zoomScaleNormal="75" workbookViewId="0">
      <pane ySplit="1" topLeftCell="A18" activePane="bottomLeft" state="frozen"/>
      <selection pane="bottomLeft" activeCell="G35" sqref="G35"/>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791</v>
      </c>
      <c r="B2" s="13" t="s">
        <v>792</v>
      </c>
      <c r="C2" s="13"/>
      <c r="D2" s="13"/>
      <c r="E2" s="13"/>
      <c r="F2" s="13"/>
      <c r="G2" s="13"/>
      <c r="H2" s="13"/>
    </row>
    <row r="3" spans="1:8" ht="30" customHeight="1" x14ac:dyDescent="0.3">
      <c r="A3" s="14" t="s">
        <v>791</v>
      </c>
      <c r="B3" s="14" t="s">
        <v>792</v>
      </c>
      <c r="C3" s="15" t="s">
        <v>793</v>
      </c>
      <c r="D3" s="16" t="s">
        <v>794</v>
      </c>
      <c r="E3" s="17">
        <v>2</v>
      </c>
      <c r="F3" s="18" t="s">
        <v>82</v>
      </c>
      <c r="G3" s="16" t="s">
        <v>795</v>
      </c>
      <c r="H3" s="16" t="s">
        <v>613</v>
      </c>
    </row>
    <row r="4" spans="1:8" ht="30" customHeight="1" x14ac:dyDescent="0.3">
      <c r="A4" s="19" t="s">
        <v>791</v>
      </c>
      <c r="B4" s="19" t="s">
        <v>792</v>
      </c>
      <c r="C4" s="20" t="s">
        <v>796</v>
      </c>
      <c r="D4" s="21" t="s">
        <v>797</v>
      </c>
      <c r="E4" s="17">
        <v>2</v>
      </c>
      <c r="F4" s="18" t="s">
        <v>82</v>
      </c>
      <c r="G4" s="21" t="s">
        <v>798</v>
      </c>
      <c r="H4" s="21" t="s">
        <v>641</v>
      </c>
    </row>
    <row r="5" spans="1:8" ht="30" customHeight="1" x14ac:dyDescent="0.3">
      <c r="A5" s="14" t="s">
        <v>791</v>
      </c>
      <c r="B5" s="14" t="s">
        <v>792</v>
      </c>
      <c r="C5" s="15" t="s">
        <v>799</v>
      </c>
      <c r="D5" s="16" t="s">
        <v>800</v>
      </c>
      <c r="E5" s="23">
        <v>3</v>
      </c>
      <c r="F5" s="18" t="s">
        <v>72</v>
      </c>
      <c r="G5" s="16" t="s">
        <v>526</v>
      </c>
      <c r="H5" s="16"/>
    </row>
    <row r="6" spans="1:8" ht="30" customHeight="1" x14ac:dyDescent="0.3">
      <c r="A6" s="19" t="s">
        <v>791</v>
      </c>
      <c r="B6" s="19" t="s">
        <v>792</v>
      </c>
      <c r="C6" s="20" t="s">
        <v>801</v>
      </c>
      <c r="D6" s="21" t="s">
        <v>802</v>
      </c>
      <c r="E6" s="23">
        <v>3</v>
      </c>
      <c r="F6" s="18" t="s">
        <v>72</v>
      </c>
      <c r="G6" s="21" t="s">
        <v>526</v>
      </c>
      <c r="H6" s="21"/>
    </row>
    <row r="7" spans="1:8" ht="18" customHeight="1" x14ac:dyDescent="0.3">
      <c r="A7" s="13" t="s">
        <v>803</v>
      </c>
      <c r="B7" s="13" t="s">
        <v>804</v>
      </c>
      <c r="C7" s="13"/>
      <c r="D7" s="13"/>
      <c r="E7" s="13"/>
      <c r="F7" s="13"/>
      <c r="G7" s="13"/>
      <c r="H7" s="13"/>
    </row>
    <row r="8" spans="1:8" ht="30" customHeight="1" x14ac:dyDescent="0.3">
      <c r="A8" s="14" t="s">
        <v>803</v>
      </c>
      <c r="B8" s="14" t="s">
        <v>804</v>
      </c>
      <c r="C8" s="15" t="s">
        <v>805</v>
      </c>
      <c r="D8" s="16" t="s">
        <v>806</v>
      </c>
      <c r="E8" s="17">
        <v>2</v>
      </c>
      <c r="F8" s="18" t="s">
        <v>82</v>
      </c>
      <c r="G8" s="16" t="s">
        <v>807</v>
      </c>
      <c r="H8" s="16" t="s">
        <v>616</v>
      </c>
    </row>
    <row r="9" spans="1:8" ht="30" customHeight="1" x14ac:dyDescent="0.3">
      <c r="A9" s="19" t="s">
        <v>803</v>
      </c>
      <c r="B9" s="19" t="s">
        <v>804</v>
      </c>
      <c r="C9" s="20" t="s">
        <v>808</v>
      </c>
      <c r="D9" s="21" t="s">
        <v>809</v>
      </c>
      <c r="E9" s="17">
        <v>2</v>
      </c>
      <c r="F9" s="18" t="s">
        <v>82</v>
      </c>
      <c r="G9" s="21" t="s">
        <v>810</v>
      </c>
      <c r="H9" s="21" t="s">
        <v>641</v>
      </c>
    </row>
    <row r="10" spans="1:8" ht="30" customHeight="1" x14ac:dyDescent="0.3">
      <c r="A10" s="14" t="s">
        <v>803</v>
      </c>
      <c r="B10" s="14" t="s">
        <v>804</v>
      </c>
      <c r="C10" s="15" t="s">
        <v>811</v>
      </c>
      <c r="D10" s="16" t="s">
        <v>812</v>
      </c>
      <c r="E10" s="17">
        <v>2</v>
      </c>
      <c r="F10" s="18" t="s">
        <v>82</v>
      </c>
      <c r="G10" s="16" t="s">
        <v>813</v>
      </c>
      <c r="H10" s="16" t="s">
        <v>616</v>
      </c>
    </row>
    <row r="11" spans="1:8" ht="30" customHeight="1" x14ac:dyDescent="0.3">
      <c r="A11" s="19" t="s">
        <v>803</v>
      </c>
      <c r="B11" s="19" t="s">
        <v>804</v>
      </c>
      <c r="C11" s="20" t="s">
        <v>814</v>
      </c>
      <c r="D11" s="21" t="s">
        <v>815</v>
      </c>
      <c r="E11" s="23">
        <v>3</v>
      </c>
      <c r="F11" s="18" t="s">
        <v>72</v>
      </c>
      <c r="G11" s="21" t="s">
        <v>816</v>
      </c>
      <c r="H11" s="21"/>
    </row>
    <row r="12" spans="1:8" ht="30" customHeight="1" x14ac:dyDescent="0.3">
      <c r="A12" s="14" t="s">
        <v>803</v>
      </c>
      <c r="B12" s="14" t="s">
        <v>804</v>
      </c>
      <c r="C12" s="15" t="s">
        <v>817</v>
      </c>
      <c r="D12" s="16" t="s">
        <v>818</v>
      </c>
      <c r="E12" s="23">
        <v>3</v>
      </c>
      <c r="F12" s="18" t="s">
        <v>82</v>
      </c>
      <c r="G12" s="16" t="s">
        <v>819</v>
      </c>
      <c r="H12" s="16" t="s">
        <v>820</v>
      </c>
    </row>
    <row r="13" spans="1:8" ht="18" customHeight="1" x14ac:dyDescent="0.3">
      <c r="A13" s="13" t="s">
        <v>821</v>
      </c>
      <c r="B13" s="13" t="s">
        <v>822</v>
      </c>
      <c r="C13" s="13"/>
      <c r="D13" s="13"/>
      <c r="E13" s="13"/>
      <c r="F13" s="13"/>
      <c r="G13" s="13"/>
      <c r="H13" s="13"/>
    </row>
    <row r="14" spans="1:8" ht="30" customHeight="1" x14ac:dyDescent="0.3">
      <c r="A14" s="14" t="s">
        <v>821</v>
      </c>
      <c r="B14" s="14" t="s">
        <v>822</v>
      </c>
      <c r="C14" s="15" t="s">
        <v>823</v>
      </c>
      <c r="D14" s="16" t="s">
        <v>824</v>
      </c>
      <c r="E14" s="22">
        <v>1</v>
      </c>
      <c r="F14" s="18" t="s">
        <v>72</v>
      </c>
      <c r="G14" s="16" t="s">
        <v>1187</v>
      </c>
      <c r="H14" s="16"/>
    </row>
    <row r="15" spans="1:8" ht="30" customHeight="1" x14ac:dyDescent="0.3">
      <c r="A15" s="19" t="s">
        <v>821</v>
      </c>
      <c r="B15" s="19" t="s">
        <v>822</v>
      </c>
      <c r="C15" s="20" t="s">
        <v>825</v>
      </c>
      <c r="D15" s="21" t="s">
        <v>826</v>
      </c>
      <c r="E15" s="22">
        <v>1</v>
      </c>
      <c r="F15" s="18" t="s">
        <v>72</v>
      </c>
      <c r="G15" s="21" t="s">
        <v>827</v>
      </c>
      <c r="H15" s="21"/>
    </row>
    <row r="16" spans="1:8" ht="30" customHeight="1" x14ac:dyDescent="0.3">
      <c r="A16" s="14" t="s">
        <v>821</v>
      </c>
      <c r="B16" s="14" t="s">
        <v>822</v>
      </c>
      <c r="C16" s="15" t="s">
        <v>828</v>
      </c>
      <c r="D16" s="16" t="s">
        <v>829</v>
      </c>
      <c r="E16" s="17">
        <v>2</v>
      </c>
      <c r="F16" s="18" t="s">
        <v>72</v>
      </c>
      <c r="G16" s="16" t="s">
        <v>830</v>
      </c>
      <c r="H16" s="16"/>
    </row>
    <row r="17" spans="1:8" ht="30" customHeight="1" x14ac:dyDescent="0.3">
      <c r="A17" s="19" t="s">
        <v>821</v>
      </c>
      <c r="B17" s="19" t="s">
        <v>822</v>
      </c>
      <c r="C17" s="20" t="s">
        <v>831</v>
      </c>
      <c r="D17" s="21" t="s">
        <v>832</v>
      </c>
      <c r="E17" s="23">
        <v>3</v>
      </c>
      <c r="F17" s="18" t="s">
        <v>72</v>
      </c>
      <c r="G17" s="21" t="s">
        <v>1188</v>
      </c>
      <c r="H17" s="21"/>
    </row>
    <row r="18" spans="1:8" ht="30" customHeight="1" x14ac:dyDescent="0.3">
      <c r="A18" s="14" t="s">
        <v>821</v>
      </c>
      <c r="B18" s="14" t="s">
        <v>822</v>
      </c>
      <c r="C18" s="15" t="s">
        <v>833</v>
      </c>
      <c r="D18" s="16" t="s">
        <v>834</v>
      </c>
      <c r="E18" s="23">
        <v>3</v>
      </c>
      <c r="F18" s="18" t="s">
        <v>72</v>
      </c>
      <c r="G18" s="16" t="s">
        <v>1189</v>
      </c>
      <c r="H18" s="16"/>
    </row>
    <row r="19" spans="1:8" ht="18" customHeight="1" x14ac:dyDescent="0.3">
      <c r="A19" s="13" t="s">
        <v>835</v>
      </c>
      <c r="B19" s="13" t="s">
        <v>836</v>
      </c>
      <c r="C19" s="13"/>
      <c r="D19" s="13"/>
      <c r="E19" s="13"/>
      <c r="F19" s="13"/>
      <c r="G19" s="13"/>
      <c r="H19" s="13"/>
    </row>
    <row r="20" spans="1:8" ht="30" customHeight="1" x14ac:dyDescent="0.3">
      <c r="A20" s="14" t="s">
        <v>835</v>
      </c>
      <c r="B20" s="14" t="s">
        <v>836</v>
      </c>
      <c r="C20" s="15" t="s">
        <v>837</v>
      </c>
      <c r="D20" s="16" t="s">
        <v>838</v>
      </c>
      <c r="E20" s="22">
        <v>1</v>
      </c>
      <c r="F20" s="18" t="s">
        <v>82</v>
      </c>
      <c r="G20" s="16" t="s">
        <v>839</v>
      </c>
      <c r="H20" s="16" t="s">
        <v>659</v>
      </c>
    </row>
    <row r="21" spans="1:8" ht="30" customHeight="1" x14ac:dyDescent="0.3">
      <c r="A21" s="19" t="s">
        <v>835</v>
      </c>
      <c r="B21" s="19" t="s">
        <v>836</v>
      </c>
      <c r="C21" s="20" t="s">
        <v>840</v>
      </c>
      <c r="D21" s="21" t="s">
        <v>841</v>
      </c>
      <c r="E21" s="17">
        <v>2</v>
      </c>
      <c r="F21" s="18" t="s">
        <v>82</v>
      </c>
      <c r="G21" s="21" t="s">
        <v>842</v>
      </c>
      <c r="H21" s="21" t="s">
        <v>843</v>
      </c>
    </row>
    <row r="22" spans="1:8" ht="30" customHeight="1" x14ac:dyDescent="0.3">
      <c r="A22" s="14" t="s">
        <v>835</v>
      </c>
      <c r="B22" s="14" t="s">
        <v>836</v>
      </c>
      <c r="C22" s="15" t="s">
        <v>844</v>
      </c>
      <c r="D22" s="16" t="s">
        <v>845</v>
      </c>
      <c r="E22" s="17">
        <v>2</v>
      </c>
      <c r="F22" s="18" t="s">
        <v>82</v>
      </c>
      <c r="G22" s="16" t="s">
        <v>846</v>
      </c>
      <c r="H22" s="16" t="s">
        <v>616</v>
      </c>
    </row>
    <row r="23" spans="1:8" ht="30" customHeight="1" x14ac:dyDescent="0.3">
      <c r="A23" s="19" t="s">
        <v>835</v>
      </c>
      <c r="B23" s="19" t="s">
        <v>836</v>
      </c>
      <c r="C23" s="20" t="s">
        <v>847</v>
      </c>
      <c r="D23" s="21" t="s">
        <v>848</v>
      </c>
      <c r="E23" s="17">
        <v>2</v>
      </c>
      <c r="F23" s="18" t="s">
        <v>72</v>
      </c>
      <c r="G23" s="21" t="s">
        <v>849</v>
      </c>
      <c r="H23" s="21"/>
    </row>
    <row r="24" spans="1:8" ht="18" customHeight="1" x14ac:dyDescent="0.3">
      <c r="A24" s="13" t="s">
        <v>850</v>
      </c>
      <c r="B24" s="13" t="s">
        <v>851</v>
      </c>
      <c r="C24" s="13"/>
      <c r="D24" s="13"/>
      <c r="E24" s="13"/>
      <c r="F24" s="13"/>
      <c r="G24" s="13"/>
      <c r="H24" s="13"/>
    </row>
    <row r="25" spans="1:8" ht="30" customHeight="1" x14ac:dyDescent="0.3">
      <c r="A25" s="14" t="s">
        <v>850</v>
      </c>
      <c r="B25" s="14" t="s">
        <v>851</v>
      </c>
      <c r="C25" s="15" t="s">
        <v>852</v>
      </c>
      <c r="D25" s="16" t="s">
        <v>853</v>
      </c>
      <c r="E25" s="17">
        <v>2</v>
      </c>
      <c r="F25" s="18" t="s">
        <v>82</v>
      </c>
      <c r="G25" s="16" t="s">
        <v>854</v>
      </c>
      <c r="H25" s="16" t="s">
        <v>820</v>
      </c>
    </row>
    <row r="26" spans="1:8" ht="30" customHeight="1" x14ac:dyDescent="0.3">
      <c r="A26" s="19" t="s">
        <v>850</v>
      </c>
      <c r="B26" s="19" t="s">
        <v>851</v>
      </c>
      <c r="C26" s="20" t="s">
        <v>855</v>
      </c>
      <c r="D26" s="21" t="s">
        <v>856</v>
      </c>
      <c r="E26" s="23">
        <v>3</v>
      </c>
      <c r="F26" s="18" t="s">
        <v>72</v>
      </c>
      <c r="G26" s="21" t="s">
        <v>857</v>
      </c>
      <c r="H26" s="21"/>
    </row>
    <row r="27" spans="1:8" ht="18" customHeight="1" x14ac:dyDescent="0.3">
      <c r="A27" s="13" t="s">
        <v>858</v>
      </c>
      <c r="B27" s="13" t="s">
        <v>859</v>
      </c>
      <c r="C27" s="13"/>
      <c r="D27" s="13"/>
      <c r="E27" s="13"/>
      <c r="F27" s="13"/>
      <c r="G27" s="13"/>
      <c r="H27" s="13"/>
    </row>
    <row r="28" spans="1:8" ht="30" customHeight="1" x14ac:dyDescent="0.3">
      <c r="A28" s="14" t="s">
        <v>858</v>
      </c>
      <c r="B28" s="14" t="s">
        <v>859</v>
      </c>
      <c r="C28" s="15" t="s">
        <v>860</v>
      </c>
      <c r="D28" s="16" t="s">
        <v>861</v>
      </c>
      <c r="E28" s="17">
        <v>2</v>
      </c>
      <c r="F28" s="18" t="s">
        <v>82</v>
      </c>
      <c r="G28" s="16" t="s">
        <v>862</v>
      </c>
      <c r="H28" s="16" t="s">
        <v>659</v>
      </c>
    </row>
    <row r="29" spans="1:8" ht="30" customHeight="1" x14ac:dyDescent="0.3">
      <c r="A29" s="19" t="s">
        <v>858</v>
      </c>
      <c r="B29" s="19" t="s">
        <v>859</v>
      </c>
      <c r="C29" s="20" t="s">
        <v>863</v>
      </c>
      <c r="D29" s="21" t="s">
        <v>864</v>
      </c>
      <c r="E29" s="23">
        <v>3</v>
      </c>
      <c r="F29" s="18" t="s">
        <v>82</v>
      </c>
      <c r="G29" s="21" t="s">
        <v>865</v>
      </c>
      <c r="H29" s="21" t="s">
        <v>616</v>
      </c>
    </row>
    <row r="30" spans="1:8" ht="18" customHeight="1" x14ac:dyDescent="0.3">
      <c r="A30" s="13" t="s">
        <v>866</v>
      </c>
      <c r="B30" s="13" t="s">
        <v>867</v>
      </c>
      <c r="C30" s="13"/>
      <c r="D30" s="13"/>
      <c r="E30" s="13"/>
      <c r="F30" s="13"/>
      <c r="G30" s="13"/>
      <c r="H30" s="13"/>
    </row>
    <row r="31" spans="1:8" ht="30" customHeight="1" x14ac:dyDescent="0.3">
      <c r="A31" s="14" t="s">
        <v>866</v>
      </c>
      <c r="B31" s="14" t="s">
        <v>867</v>
      </c>
      <c r="C31" s="15" t="s">
        <v>868</v>
      </c>
      <c r="D31" s="16" t="s">
        <v>869</v>
      </c>
      <c r="E31" s="23">
        <v>3</v>
      </c>
      <c r="F31" s="18" t="s">
        <v>72</v>
      </c>
      <c r="G31" s="16" t="s">
        <v>870</v>
      </c>
      <c r="H31" s="16"/>
    </row>
    <row r="32" spans="1:8" ht="30" customHeight="1" x14ac:dyDescent="0.3">
      <c r="A32" s="19" t="s">
        <v>866</v>
      </c>
      <c r="B32" s="19" t="s">
        <v>867</v>
      </c>
      <c r="C32" s="20" t="s">
        <v>871</v>
      </c>
      <c r="D32" s="21" t="s">
        <v>872</v>
      </c>
      <c r="E32" s="23">
        <v>3</v>
      </c>
      <c r="F32" s="18" t="s">
        <v>82</v>
      </c>
      <c r="G32" s="21" t="s">
        <v>873</v>
      </c>
      <c r="H32" s="21" t="s">
        <v>613</v>
      </c>
    </row>
  </sheetData>
  <conditionalFormatting sqref="F2:F32">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2" xr:uid="{00000000-0002-0000-0B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topLeftCell="D1" zoomScale="146" zoomScaleNormal="75" workbookViewId="0">
      <pane ySplit="1" topLeftCell="A8" activePane="bottomLeft" state="frozen"/>
      <selection pane="bottomLeft" activeCell="H16" sqref="H16"/>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874</v>
      </c>
      <c r="B2" s="13" t="s">
        <v>875</v>
      </c>
      <c r="C2" s="13"/>
      <c r="D2" s="13"/>
      <c r="E2" s="13"/>
      <c r="F2" s="13"/>
      <c r="G2" s="13"/>
      <c r="H2" s="13"/>
    </row>
    <row r="3" spans="1:8" ht="30" customHeight="1" x14ac:dyDescent="0.3">
      <c r="A3" s="14" t="s">
        <v>874</v>
      </c>
      <c r="B3" s="14" t="s">
        <v>875</v>
      </c>
      <c r="C3" s="15" t="s">
        <v>876</v>
      </c>
      <c r="D3" s="16" t="s">
        <v>877</v>
      </c>
      <c r="E3" s="22">
        <v>1</v>
      </c>
      <c r="F3" s="18" t="s">
        <v>82</v>
      </c>
      <c r="G3" s="16" t="s">
        <v>1190</v>
      </c>
      <c r="H3" s="16" t="s">
        <v>641</v>
      </c>
    </row>
    <row r="4" spans="1:8" ht="30" customHeight="1" x14ac:dyDescent="0.3">
      <c r="A4" s="19" t="s">
        <v>874</v>
      </c>
      <c r="B4" s="19" t="s">
        <v>875</v>
      </c>
      <c r="C4" s="20" t="s">
        <v>878</v>
      </c>
      <c r="D4" s="21" t="s">
        <v>879</v>
      </c>
      <c r="E4" s="17">
        <v>2</v>
      </c>
      <c r="F4" s="18" t="s">
        <v>82</v>
      </c>
      <c r="G4" s="21" t="s">
        <v>1191</v>
      </c>
      <c r="H4" s="21" t="s">
        <v>616</v>
      </c>
    </row>
    <row r="5" spans="1:8" ht="30" customHeight="1" x14ac:dyDescent="0.3">
      <c r="A5" s="14" t="s">
        <v>874</v>
      </c>
      <c r="B5" s="14" t="s">
        <v>875</v>
      </c>
      <c r="C5" s="15" t="s">
        <v>880</v>
      </c>
      <c r="D5" s="16" t="s">
        <v>881</v>
      </c>
      <c r="E5" s="17">
        <v>2</v>
      </c>
      <c r="F5" s="18" t="s">
        <v>72</v>
      </c>
      <c r="G5" s="16" t="s">
        <v>882</v>
      </c>
      <c r="H5" s="16"/>
    </row>
    <row r="6" spans="1:8" ht="30" customHeight="1" x14ac:dyDescent="0.3">
      <c r="A6" s="19" t="s">
        <v>874</v>
      </c>
      <c r="B6" s="19" t="s">
        <v>875</v>
      </c>
      <c r="C6" s="20" t="s">
        <v>883</v>
      </c>
      <c r="D6" s="21" t="s">
        <v>884</v>
      </c>
      <c r="E6" s="23">
        <v>3</v>
      </c>
      <c r="F6" s="18" t="s">
        <v>72</v>
      </c>
      <c r="G6" s="21" t="s">
        <v>1192</v>
      </c>
      <c r="H6" s="21"/>
    </row>
    <row r="7" spans="1:8" ht="30" customHeight="1" x14ac:dyDescent="0.3">
      <c r="A7" s="14" t="s">
        <v>874</v>
      </c>
      <c r="B7" s="14" t="s">
        <v>875</v>
      </c>
      <c r="C7" s="15" t="s">
        <v>885</v>
      </c>
      <c r="D7" s="16" t="s">
        <v>886</v>
      </c>
      <c r="E7" s="23">
        <v>3</v>
      </c>
      <c r="F7" s="18" t="s">
        <v>72</v>
      </c>
      <c r="G7" s="16" t="s">
        <v>526</v>
      </c>
      <c r="H7" s="16"/>
    </row>
    <row r="8" spans="1:8" ht="18" customHeight="1" x14ac:dyDescent="0.3">
      <c r="A8" s="13" t="s">
        <v>887</v>
      </c>
      <c r="B8" s="13" t="s">
        <v>888</v>
      </c>
      <c r="C8" s="13"/>
      <c r="D8" s="13"/>
      <c r="E8" s="13"/>
      <c r="F8" s="13"/>
      <c r="G8" s="13"/>
      <c r="H8" s="13"/>
    </row>
    <row r="9" spans="1:8" ht="30" customHeight="1" x14ac:dyDescent="0.3">
      <c r="A9" s="14" t="s">
        <v>887</v>
      </c>
      <c r="B9" s="14" t="s">
        <v>888</v>
      </c>
      <c r="C9" s="15" t="s">
        <v>889</v>
      </c>
      <c r="D9" s="16" t="s">
        <v>890</v>
      </c>
      <c r="E9" s="22">
        <v>1</v>
      </c>
      <c r="F9" s="18" t="s">
        <v>82</v>
      </c>
      <c r="G9" s="16" t="s">
        <v>891</v>
      </c>
      <c r="H9" s="16" t="s">
        <v>659</v>
      </c>
    </row>
    <row r="10" spans="1:8" ht="30" customHeight="1" x14ac:dyDescent="0.3">
      <c r="A10" s="19" t="s">
        <v>887</v>
      </c>
      <c r="B10" s="19" t="s">
        <v>888</v>
      </c>
      <c r="C10" s="20" t="s">
        <v>892</v>
      </c>
      <c r="D10" s="21" t="s">
        <v>893</v>
      </c>
      <c r="E10" s="22">
        <v>1</v>
      </c>
      <c r="F10" s="18" t="s">
        <v>82</v>
      </c>
      <c r="G10" s="21" t="s">
        <v>894</v>
      </c>
      <c r="H10" s="21" t="s">
        <v>659</v>
      </c>
    </row>
    <row r="11" spans="1:8" ht="18" customHeight="1" x14ac:dyDescent="0.3">
      <c r="A11" s="13" t="s">
        <v>895</v>
      </c>
      <c r="B11" s="13" t="s">
        <v>896</v>
      </c>
      <c r="C11" s="13"/>
      <c r="D11" s="13"/>
      <c r="E11" s="13"/>
      <c r="F11" s="13"/>
      <c r="G11" s="13"/>
      <c r="H11" s="13"/>
    </row>
    <row r="12" spans="1:8" ht="30" customHeight="1" x14ac:dyDescent="0.3">
      <c r="A12" s="14" t="s">
        <v>895</v>
      </c>
      <c r="B12" s="14" t="s">
        <v>896</v>
      </c>
      <c r="C12" s="15" t="s">
        <v>897</v>
      </c>
      <c r="D12" s="16" t="s">
        <v>898</v>
      </c>
      <c r="E12" s="17">
        <v>2</v>
      </c>
      <c r="F12" s="18" t="s">
        <v>82</v>
      </c>
      <c r="G12" s="16" t="s">
        <v>899</v>
      </c>
      <c r="H12" s="16" t="s">
        <v>659</v>
      </c>
    </row>
    <row r="13" spans="1:8" ht="30" customHeight="1" x14ac:dyDescent="0.3">
      <c r="A13" s="19" t="s">
        <v>895</v>
      </c>
      <c r="B13" s="19" t="s">
        <v>896</v>
      </c>
      <c r="C13" s="20" t="s">
        <v>900</v>
      </c>
      <c r="D13" s="21" t="s">
        <v>901</v>
      </c>
      <c r="E13" s="17">
        <v>2</v>
      </c>
      <c r="F13" s="18" t="s">
        <v>82</v>
      </c>
      <c r="G13" s="21" t="s">
        <v>902</v>
      </c>
      <c r="H13" s="21" t="s">
        <v>616</v>
      </c>
    </row>
    <row r="14" spans="1:8" ht="30" customHeight="1" x14ac:dyDescent="0.3">
      <c r="A14" s="14" t="s">
        <v>895</v>
      </c>
      <c r="B14" s="14" t="s">
        <v>896</v>
      </c>
      <c r="C14" s="15" t="s">
        <v>903</v>
      </c>
      <c r="D14" s="16" t="s">
        <v>904</v>
      </c>
      <c r="E14" s="17">
        <v>2</v>
      </c>
      <c r="F14" s="18" t="s">
        <v>82</v>
      </c>
      <c r="G14" s="16" t="s">
        <v>905</v>
      </c>
      <c r="H14" s="16" t="s">
        <v>616</v>
      </c>
    </row>
    <row r="15" spans="1:8" ht="30" customHeight="1" x14ac:dyDescent="0.3">
      <c r="A15" s="19" t="s">
        <v>895</v>
      </c>
      <c r="B15" s="19" t="s">
        <v>896</v>
      </c>
      <c r="C15" s="20" t="s">
        <v>906</v>
      </c>
      <c r="D15" s="21" t="s">
        <v>907</v>
      </c>
      <c r="E15" s="17">
        <v>2</v>
      </c>
      <c r="F15" s="18" t="s">
        <v>72</v>
      </c>
      <c r="G15" s="21" t="s">
        <v>1193</v>
      </c>
      <c r="H15" s="21"/>
    </row>
    <row r="16" spans="1:8" ht="30" customHeight="1" x14ac:dyDescent="0.3">
      <c r="A16" s="14" t="s">
        <v>895</v>
      </c>
      <c r="B16" s="14" t="s">
        <v>896</v>
      </c>
      <c r="C16" s="15" t="s">
        <v>908</v>
      </c>
      <c r="D16" s="16" t="s">
        <v>909</v>
      </c>
      <c r="E16" s="23">
        <v>3</v>
      </c>
      <c r="F16" s="18" t="s">
        <v>72</v>
      </c>
      <c r="G16" s="16" t="s">
        <v>910</v>
      </c>
      <c r="H16" s="16"/>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0C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6"/>
  <sheetViews>
    <sheetView tabSelected="1" topLeftCell="B1" zoomScale="120" zoomScaleNormal="120" workbookViewId="0">
      <pane ySplit="1" topLeftCell="A14" activePane="bottomLeft" state="frozen"/>
      <selection pane="bottomLeft" activeCell="G3" sqref="G3"/>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911</v>
      </c>
      <c r="B2" s="13" t="s">
        <v>912</v>
      </c>
      <c r="C2" s="13"/>
      <c r="D2" s="13"/>
      <c r="E2" s="13"/>
      <c r="F2" s="13"/>
      <c r="G2" s="13"/>
      <c r="H2" s="13"/>
    </row>
    <row r="3" spans="1:8" ht="29.4" customHeight="1" x14ac:dyDescent="0.3">
      <c r="A3" s="14" t="s">
        <v>911</v>
      </c>
      <c r="B3" s="14" t="s">
        <v>912</v>
      </c>
      <c r="C3" s="15" t="s">
        <v>913</v>
      </c>
      <c r="D3" s="16" t="s">
        <v>914</v>
      </c>
      <c r="E3" s="17">
        <v>2</v>
      </c>
      <c r="F3" s="18" t="s">
        <v>82</v>
      </c>
      <c r="G3" s="16" t="s">
        <v>1227</v>
      </c>
      <c r="H3" s="16" t="s">
        <v>915</v>
      </c>
    </row>
    <row r="4" spans="1:8" ht="30" customHeight="1" x14ac:dyDescent="0.3">
      <c r="A4" s="19" t="s">
        <v>911</v>
      </c>
      <c r="B4" s="19" t="s">
        <v>912</v>
      </c>
      <c r="C4" s="20" t="s">
        <v>916</v>
      </c>
      <c r="D4" s="21" t="s">
        <v>917</v>
      </c>
      <c r="E4" s="23">
        <v>3</v>
      </c>
      <c r="F4" s="18" t="s">
        <v>82</v>
      </c>
      <c r="G4" s="21" t="s">
        <v>1228</v>
      </c>
      <c r="H4" s="21" t="s">
        <v>915</v>
      </c>
    </row>
    <row r="5" spans="1:8" ht="30" customHeight="1" x14ac:dyDescent="0.3">
      <c r="A5" s="14" t="s">
        <v>911</v>
      </c>
      <c r="B5" s="14" t="s">
        <v>912</v>
      </c>
      <c r="C5" s="15" t="s">
        <v>918</v>
      </c>
      <c r="D5" s="16" t="s">
        <v>919</v>
      </c>
      <c r="E5" s="23">
        <v>3</v>
      </c>
      <c r="F5" s="18" t="s">
        <v>82</v>
      </c>
      <c r="G5" s="16" t="s">
        <v>1194</v>
      </c>
      <c r="H5" s="16" t="s">
        <v>915</v>
      </c>
    </row>
    <row r="6" spans="1:8" ht="30" customHeight="1" x14ac:dyDescent="0.3">
      <c r="A6" s="19" t="s">
        <v>911</v>
      </c>
      <c r="B6" s="19" t="s">
        <v>912</v>
      </c>
      <c r="C6" s="20" t="s">
        <v>920</v>
      </c>
      <c r="D6" s="21" t="s">
        <v>921</v>
      </c>
      <c r="E6" s="23">
        <v>3</v>
      </c>
      <c r="F6" s="18" t="s">
        <v>82</v>
      </c>
      <c r="G6" s="21" t="s">
        <v>1195</v>
      </c>
      <c r="H6" s="21" t="s">
        <v>915</v>
      </c>
    </row>
    <row r="7" spans="1:8" ht="18" customHeight="1" x14ac:dyDescent="0.3">
      <c r="A7" s="13" t="s">
        <v>922</v>
      </c>
      <c r="B7" s="13" t="s">
        <v>923</v>
      </c>
      <c r="C7" s="13"/>
      <c r="D7" s="13"/>
      <c r="E7" s="13"/>
      <c r="F7" s="13"/>
      <c r="G7" s="13"/>
      <c r="H7" s="13"/>
    </row>
    <row r="8" spans="1:8" ht="30" customHeight="1" x14ac:dyDescent="0.3">
      <c r="A8" s="14" t="s">
        <v>922</v>
      </c>
      <c r="B8" s="14" t="s">
        <v>923</v>
      </c>
      <c r="C8" s="15" t="s">
        <v>924</v>
      </c>
      <c r="D8" s="16" t="s">
        <v>925</v>
      </c>
      <c r="E8" s="17">
        <v>2</v>
      </c>
      <c r="F8" s="18" t="s">
        <v>82</v>
      </c>
      <c r="G8" s="16" t="s">
        <v>1196</v>
      </c>
      <c r="H8" s="16" t="s">
        <v>659</v>
      </c>
    </row>
    <row r="9" spans="1:8" ht="30" customHeight="1" x14ac:dyDescent="0.3">
      <c r="A9" s="19" t="s">
        <v>922</v>
      </c>
      <c r="B9" s="19" t="s">
        <v>923</v>
      </c>
      <c r="C9" s="20" t="s">
        <v>926</v>
      </c>
      <c r="D9" s="21" t="s">
        <v>927</v>
      </c>
      <c r="E9" s="17">
        <v>2</v>
      </c>
      <c r="F9" s="18" t="s">
        <v>82</v>
      </c>
      <c r="G9" s="21" t="s">
        <v>1197</v>
      </c>
      <c r="H9" s="21" t="s">
        <v>616</v>
      </c>
    </row>
    <row r="10" spans="1:8" ht="30" customHeight="1" x14ac:dyDescent="0.3">
      <c r="A10" s="14" t="s">
        <v>922</v>
      </c>
      <c r="B10" s="14" t="s">
        <v>923</v>
      </c>
      <c r="C10" s="15" t="s">
        <v>928</v>
      </c>
      <c r="D10" s="16" t="s">
        <v>929</v>
      </c>
      <c r="E10" s="17">
        <v>2</v>
      </c>
      <c r="F10" s="18" t="s">
        <v>82</v>
      </c>
      <c r="G10" s="16" t="s">
        <v>1198</v>
      </c>
      <c r="H10" s="16" t="s">
        <v>659</v>
      </c>
    </row>
    <row r="11" spans="1:8" ht="30" customHeight="1" x14ac:dyDescent="0.3">
      <c r="A11" s="19" t="s">
        <v>922</v>
      </c>
      <c r="B11" s="19" t="s">
        <v>923</v>
      </c>
      <c r="C11" s="20" t="s">
        <v>930</v>
      </c>
      <c r="D11" s="21" t="s">
        <v>931</v>
      </c>
      <c r="E11" s="17">
        <v>2</v>
      </c>
      <c r="F11" s="18" t="s">
        <v>82</v>
      </c>
      <c r="G11" s="21" t="s">
        <v>1229</v>
      </c>
      <c r="H11" s="21" t="s">
        <v>659</v>
      </c>
    </row>
    <row r="12" spans="1:8" ht="30" customHeight="1" x14ac:dyDescent="0.3">
      <c r="A12" s="14" t="s">
        <v>922</v>
      </c>
      <c r="B12" s="14" t="s">
        <v>923</v>
      </c>
      <c r="C12" s="15" t="s">
        <v>932</v>
      </c>
      <c r="D12" s="16" t="s">
        <v>933</v>
      </c>
      <c r="E12" s="17">
        <v>2</v>
      </c>
      <c r="F12" s="18" t="s">
        <v>82</v>
      </c>
      <c r="G12" s="16" t="s">
        <v>1199</v>
      </c>
      <c r="H12" s="16" t="s">
        <v>616</v>
      </c>
    </row>
    <row r="13" spans="1:8" ht="30" customHeight="1" x14ac:dyDescent="0.3">
      <c r="A13" s="19" t="s">
        <v>922</v>
      </c>
      <c r="B13" s="19" t="s">
        <v>923</v>
      </c>
      <c r="C13" s="20" t="s">
        <v>934</v>
      </c>
      <c r="D13" s="21" t="s">
        <v>935</v>
      </c>
      <c r="E13" s="23">
        <v>3</v>
      </c>
      <c r="F13" s="18" t="s">
        <v>82</v>
      </c>
      <c r="G13" s="21" t="s">
        <v>1200</v>
      </c>
      <c r="H13" s="21" t="s">
        <v>616</v>
      </c>
    </row>
    <row r="14" spans="1:8" ht="18" customHeight="1" x14ac:dyDescent="0.3">
      <c r="A14" s="13" t="s">
        <v>936</v>
      </c>
      <c r="B14" s="13" t="s">
        <v>937</v>
      </c>
      <c r="C14" s="13"/>
      <c r="D14" s="13"/>
      <c r="E14" s="13"/>
      <c r="F14" s="13"/>
      <c r="G14" s="13"/>
      <c r="H14" s="13"/>
    </row>
    <row r="15" spans="1:8" ht="30" customHeight="1" x14ac:dyDescent="0.3">
      <c r="A15" s="14" t="s">
        <v>936</v>
      </c>
      <c r="B15" s="14" t="s">
        <v>937</v>
      </c>
      <c r="C15" s="15" t="s">
        <v>938</v>
      </c>
      <c r="D15" s="16" t="s">
        <v>939</v>
      </c>
      <c r="E15" s="17">
        <v>2</v>
      </c>
      <c r="F15" s="18" t="s">
        <v>82</v>
      </c>
      <c r="G15" s="16" t="s">
        <v>1201</v>
      </c>
      <c r="H15" s="16" t="s">
        <v>659</v>
      </c>
    </row>
    <row r="16" spans="1:8" ht="30" customHeight="1" x14ac:dyDescent="0.3">
      <c r="A16" s="19" t="s">
        <v>936</v>
      </c>
      <c r="B16" s="19" t="s">
        <v>937</v>
      </c>
      <c r="C16" s="20" t="s">
        <v>940</v>
      </c>
      <c r="D16" s="21" t="s">
        <v>941</v>
      </c>
      <c r="E16" s="17">
        <v>2</v>
      </c>
      <c r="F16" s="18" t="s">
        <v>82</v>
      </c>
      <c r="G16" s="21" t="s">
        <v>1202</v>
      </c>
      <c r="H16" s="21" t="s">
        <v>616</v>
      </c>
    </row>
    <row r="17" spans="1:8" ht="30" customHeight="1" x14ac:dyDescent="0.3">
      <c r="A17" s="14" t="s">
        <v>936</v>
      </c>
      <c r="B17" s="14" t="s">
        <v>937</v>
      </c>
      <c r="C17" s="15" t="s">
        <v>942</v>
      </c>
      <c r="D17" s="16" t="s">
        <v>943</v>
      </c>
      <c r="E17" s="23">
        <v>3</v>
      </c>
      <c r="F17" s="18" t="s">
        <v>82</v>
      </c>
      <c r="G17" s="16" t="s">
        <v>1203</v>
      </c>
      <c r="H17" s="16" t="s">
        <v>616</v>
      </c>
    </row>
    <row r="18" spans="1:8" ht="30" customHeight="1" x14ac:dyDescent="0.3">
      <c r="A18" s="19" t="s">
        <v>936</v>
      </c>
      <c r="B18" s="19" t="s">
        <v>937</v>
      </c>
      <c r="C18" s="20" t="s">
        <v>944</v>
      </c>
      <c r="D18" s="21" t="s">
        <v>945</v>
      </c>
      <c r="E18" s="23">
        <v>3</v>
      </c>
      <c r="F18" s="18" t="s">
        <v>82</v>
      </c>
      <c r="G18" s="21" t="s">
        <v>1204</v>
      </c>
      <c r="H18" s="21" t="s">
        <v>616</v>
      </c>
    </row>
    <row r="19" spans="1:8" ht="18" customHeight="1" x14ac:dyDescent="0.3">
      <c r="A19" s="13" t="s">
        <v>946</v>
      </c>
      <c r="B19" s="13" t="s">
        <v>947</v>
      </c>
      <c r="C19" s="13"/>
      <c r="D19" s="13"/>
      <c r="E19" s="13"/>
      <c r="F19" s="13"/>
      <c r="G19" s="13"/>
      <c r="H19" s="13"/>
    </row>
    <row r="20" spans="1:8" ht="30" customHeight="1" x14ac:dyDescent="0.3">
      <c r="A20" s="14" t="s">
        <v>946</v>
      </c>
      <c r="B20" s="14" t="s">
        <v>947</v>
      </c>
      <c r="C20" s="15" t="s">
        <v>948</v>
      </c>
      <c r="D20" s="16" t="s">
        <v>949</v>
      </c>
      <c r="E20" s="22">
        <v>1</v>
      </c>
      <c r="F20" s="18" t="s">
        <v>82</v>
      </c>
      <c r="G20" s="16" t="s">
        <v>1205</v>
      </c>
      <c r="H20" s="16" t="s">
        <v>616</v>
      </c>
    </row>
    <row r="21" spans="1:8" ht="30" customHeight="1" x14ac:dyDescent="0.3">
      <c r="A21" s="19" t="s">
        <v>946</v>
      </c>
      <c r="B21" s="19" t="s">
        <v>947</v>
      </c>
      <c r="C21" s="20" t="s">
        <v>950</v>
      </c>
      <c r="D21" s="21" t="s">
        <v>951</v>
      </c>
      <c r="E21" s="17">
        <v>2</v>
      </c>
      <c r="F21" s="18" t="s">
        <v>82</v>
      </c>
      <c r="G21" s="21" t="s">
        <v>1206</v>
      </c>
      <c r="H21" s="21" t="s">
        <v>531</v>
      </c>
    </row>
    <row r="22" spans="1:8" ht="30" customHeight="1" x14ac:dyDescent="0.3">
      <c r="A22" s="14" t="s">
        <v>946</v>
      </c>
      <c r="B22" s="14" t="s">
        <v>947</v>
      </c>
      <c r="C22" s="15" t="s">
        <v>952</v>
      </c>
      <c r="D22" s="16" t="s">
        <v>953</v>
      </c>
      <c r="E22" s="17">
        <v>2</v>
      </c>
      <c r="F22" s="18" t="s">
        <v>82</v>
      </c>
      <c r="G22" s="16" t="s">
        <v>1207</v>
      </c>
      <c r="H22" s="16" t="s">
        <v>616</v>
      </c>
    </row>
    <row r="23" spans="1:8" ht="30" customHeight="1" x14ac:dyDescent="0.3">
      <c r="A23" s="19" t="s">
        <v>946</v>
      </c>
      <c r="B23" s="19" t="s">
        <v>947</v>
      </c>
      <c r="C23" s="20" t="s">
        <v>954</v>
      </c>
      <c r="D23" s="21" t="s">
        <v>955</v>
      </c>
      <c r="E23" s="17">
        <v>2</v>
      </c>
      <c r="F23" s="18" t="s">
        <v>82</v>
      </c>
      <c r="G23" s="21" t="s">
        <v>956</v>
      </c>
      <c r="H23" s="21" t="s">
        <v>616</v>
      </c>
    </row>
    <row r="24" spans="1:8" ht="30" customHeight="1" x14ac:dyDescent="0.3">
      <c r="A24" s="14" t="s">
        <v>946</v>
      </c>
      <c r="B24" s="14" t="s">
        <v>947</v>
      </c>
      <c r="C24" s="15" t="s">
        <v>957</v>
      </c>
      <c r="D24" s="16" t="s">
        <v>958</v>
      </c>
      <c r="E24" s="17">
        <v>2</v>
      </c>
      <c r="F24" s="18" t="s">
        <v>82</v>
      </c>
      <c r="G24" s="16" t="s">
        <v>959</v>
      </c>
      <c r="H24" s="16" t="s">
        <v>616</v>
      </c>
    </row>
    <row r="25" spans="1:8" ht="30" customHeight="1" x14ac:dyDescent="0.3">
      <c r="A25" s="19" t="s">
        <v>946</v>
      </c>
      <c r="B25" s="19" t="s">
        <v>947</v>
      </c>
      <c r="C25" s="20" t="s">
        <v>960</v>
      </c>
      <c r="D25" s="21" t="s">
        <v>961</v>
      </c>
      <c r="E25" s="23">
        <v>3</v>
      </c>
      <c r="F25" s="18" t="s">
        <v>82</v>
      </c>
      <c r="G25" s="21" t="s">
        <v>1208</v>
      </c>
      <c r="H25" s="21" t="s">
        <v>616</v>
      </c>
    </row>
    <row r="26" spans="1:8" ht="30" customHeight="1" x14ac:dyDescent="0.3">
      <c r="A26" s="14" t="s">
        <v>946</v>
      </c>
      <c r="B26" s="14" t="s">
        <v>947</v>
      </c>
      <c r="C26" s="15" t="s">
        <v>962</v>
      </c>
      <c r="D26" s="16" t="s">
        <v>963</v>
      </c>
      <c r="E26" s="23">
        <v>3</v>
      </c>
      <c r="F26" s="18" t="s">
        <v>82</v>
      </c>
      <c r="G26" s="16" t="s">
        <v>1209</v>
      </c>
      <c r="H26" s="16" t="s">
        <v>616</v>
      </c>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D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7"/>
  <sheetViews>
    <sheetView topLeftCell="D1" zoomScale="149" zoomScaleNormal="75" workbookViewId="0">
      <pane ySplit="1" topLeftCell="A9" activePane="bottomLeft" state="frozen"/>
      <selection pane="bottomLeft" activeCell="G20" sqref="G20"/>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964</v>
      </c>
      <c r="B2" s="13" t="s">
        <v>965</v>
      </c>
      <c r="C2" s="13"/>
      <c r="D2" s="13"/>
      <c r="E2" s="13"/>
      <c r="F2" s="13"/>
      <c r="G2" s="13"/>
      <c r="H2" s="13"/>
    </row>
    <row r="3" spans="1:8" ht="30" customHeight="1" x14ac:dyDescent="0.3">
      <c r="A3" s="14" t="s">
        <v>964</v>
      </c>
      <c r="B3" s="14" t="s">
        <v>965</v>
      </c>
      <c r="C3" s="15" t="s">
        <v>966</v>
      </c>
      <c r="D3" s="16" t="s">
        <v>967</v>
      </c>
      <c r="E3" s="17">
        <v>2</v>
      </c>
      <c r="F3" s="18" t="s">
        <v>82</v>
      </c>
      <c r="G3" s="16" t="s">
        <v>968</v>
      </c>
      <c r="H3" s="16" t="s">
        <v>613</v>
      </c>
    </row>
    <row r="4" spans="1:8" ht="30" customHeight="1" x14ac:dyDescent="0.3">
      <c r="A4" s="19" t="s">
        <v>964</v>
      </c>
      <c r="B4" s="19" t="s">
        <v>965</v>
      </c>
      <c r="C4" s="20" t="s">
        <v>969</v>
      </c>
      <c r="D4" s="21" t="s">
        <v>970</v>
      </c>
      <c r="E4" s="17">
        <v>2</v>
      </c>
      <c r="F4" s="18" t="s">
        <v>82</v>
      </c>
      <c r="G4" s="21" t="s">
        <v>971</v>
      </c>
      <c r="H4" s="21" t="s">
        <v>610</v>
      </c>
    </row>
    <row r="5" spans="1:8" ht="18" customHeight="1" x14ac:dyDescent="0.3">
      <c r="A5" s="13" t="s">
        <v>972</v>
      </c>
      <c r="B5" s="13" t="s">
        <v>973</v>
      </c>
      <c r="C5" s="13"/>
      <c r="D5" s="13"/>
      <c r="E5" s="13"/>
      <c r="F5" s="13"/>
      <c r="G5" s="13"/>
      <c r="H5" s="13"/>
    </row>
    <row r="6" spans="1:8" ht="30" customHeight="1" x14ac:dyDescent="0.3">
      <c r="A6" s="14" t="s">
        <v>972</v>
      </c>
      <c r="B6" s="14" t="s">
        <v>973</v>
      </c>
      <c r="C6" s="15" t="s">
        <v>974</v>
      </c>
      <c r="D6" s="16" t="s">
        <v>975</v>
      </c>
      <c r="E6" s="22">
        <v>1</v>
      </c>
      <c r="F6" s="18" t="s">
        <v>82</v>
      </c>
      <c r="G6" s="16" t="s">
        <v>976</v>
      </c>
      <c r="H6" s="16" t="s">
        <v>613</v>
      </c>
    </row>
    <row r="7" spans="1:8" ht="30" customHeight="1" x14ac:dyDescent="0.3">
      <c r="A7" s="19" t="s">
        <v>972</v>
      </c>
      <c r="B7" s="19" t="s">
        <v>973</v>
      </c>
      <c r="C7" s="20" t="s">
        <v>977</v>
      </c>
      <c r="D7" s="21" t="s">
        <v>978</v>
      </c>
      <c r="E7" s="17">
        <v>2</v>
      </c>
      <c r="F7" s="18" t="s">
        <v>82</v>
      </c>
      <c r="G7" s="21" t="s">
        <v>979</v>
      </c>
      <c r="H7" s="21" t="s">
        <v>616</v>
      </c>
    </row>
    <row r="8" spans="1:8" ht="30" customHeight="1" x14ac:dyDescent="0.3">
      <c r="A8" s="14" t="s">
        <v>972</v>
      </c>
      <c r="B8" s="14" t="s">
        <v>973</v>
      </c>
      <c r="C8" s="15" t="s">
        <v>980</v>
      </c>
      <c r="D8" s="16" t="s">
        <v>981</v>
      </c>
      <c r="E8" s="17">
        <v>2</v>
      </c>
      <c r="F8" s="18" t="s">
        <v>82</v>
      </c>
      <c r="G8" s="16" t="s">
        <v>982</v>
      </c>
      <c r="H8" s="16" t="s">
        <v>613</v>
      </c>
    </row>
    <row r="9" spans="1:8" ht="30" customHeight="1" x14ac:dyDescent="0.3">
      <c r="A9" s="19" t="s">
        <v>972</v>
      </c>
      <c r="B9" s="19" t="s">
        <v>973</v>
      </c>
      <c r="C9" s="20" t="s">
        <v>983</v>
      </c>
      <c r="D9" s="21" t="s">
        <v>984</v>
      </c>
      <c r="E9" s="17">
        <v>2</v>
      </c>
      <c r="F9" s="18" t="s">
        <v>82</v>
      </c>
      <c r="G9" s="21" t="s">
        <v>985</v>
      </c>
      <c r="H9" s="21" t="s">
        <v>641</v>
      </c>
    </row>
    <row r="10" spans="1:8" ht="30" customHeight="1" x14ac:dyDescent="0.3">
      <c r="A10" s="14" t="s">
        <v>972</v>
      </c>
      <c r="B10" s="14" t="s">
        <v>973</v>
      </c>
      <c r="C10" s="15" t="s">
        <v>986</v>
      </c>
      <c r="D10" s="16" t="s">
        <v>987</v>
      </c>
      <c r="E10" s="23">
        <v>3</v>
      </c>
      <c r="F10" s="18" t="s">
        <v>72</v>
      </c>
      <c r="G10" s="16" t="s">
        <v>1210</v>
      </c>
      <c r="H10" s="16"/>
    </row>
    <row r="11" spans="1:8" ht="30" customHeight="1" x14ac:dyDescent="0.3">
      <c r="A11" s="19" t="s">
        <v>972</v>
      </c>
      <c r="B11" s="19" t="s">
        <v>973</v>
      </c>
      <c r="C11" s="20" t="s">
        <v>988</v>
      </c>
      <c r="D11" s="21" t="s">
        <v>989</v>
      </c>
      <c r="E11" s="23">
        <v>3</v>
      </c>
      <c r="F11" s="18" t="s">
        <v>72</v>
      </c>
      <c r="G11" s="21" t="s">
        <v>1211</v>
      </c>
      <c r="H11" s="21"/>
    </row>
    <row r="12" spans="1:8" ht="30" customHeight="1" x14ac:dyDescent="0.3">
      <c r="A12" s="14" t="s">
        <v>972</v>
      </c>
      <c r="B12" s="14" t="s">
        <v>973</v>
      </c>
      <c r="C12" s="15" t="s">
        <v>990</v>
      </c>
      <c r="D12" s="16" t="s">
        <v>991</v>
      </c>
      <c r="E12" s="23">
        <v>3</v>
      </c>
      <c r="F12" s="18" t="s">
        <v>72</v>
      </c>
      <c r="G12" s="16" t="s">
        <v>1212</v>
      </c>
      <c r="H12" s="16"/>
    </row>
    <row r="13" spans="1:8" ht="30" customHeight="1" x14ac:dyDescent="0.3">
      <c r="A13" s="19" t="s">
        <v>972</v>
      </c>
      <c r="B13" s="19" t="s">
        <v>973</v>
      </c>
      <c r="C13" s="20" t="s">
        <v>992</v>
      </c>
      <c r="D13" s="21" t="s">
        <v>993</v>
      </c>
      <c r="E13" s="23">
        <v>3</v>
      </c>
      <c r="F13" s="18" t="s">
        <v>72</v>
      </c>
      <c r="G13" s="21" t="s">
        <v>1213</v>
      </c>
      <c r="H13" s="21"/>
    </row>
    <row r="14" spans="1:8" ht="18" customHeight="1" x14ac:dyDescent="0.3">
      <c r="A14" s="13" t="s">
        <v>994</v>
      </c>
      <c r="B14" s="13" t="s">
        <v>995</v>
      </c>
      <c r="C14" s="13"/>
      <c r="D14" s="13"/>
      <c r="E14" s="13"/>
      <c r="F14" s="13"/>
      <c r="G14" s="13"/>
      <c r="H14" s="13"/>
    </row>
    <row r="15" spans="1:8" ht="30" customHeight="1" x14ac:dyDescent="0.3">
      <c r="A15" s="14" t="s">
        <v>994</v>
      </c>
      <c r="B15" s="14" t="s">
        <v>995</v>
      </c>
      <c r="C15" s="15" t="s">
        <v>996</v>
      </c>
      <c r="D15" s="16" t="s">
        <v>997</v>
      </c>
      <c r="E15" s="22">
        <v>1</v>
      </c>
      <c r="F15" s="18" t="s">
        <v>72</v>
      </c>
      <c r="G15" s="16" t="s">
        <v>1214</v>
      </c>
      <c r="H15" s="16"/>
    </row>
    <row r="16" spans="1:8" ht="30" customHeight="1" x14ac:dyDescent="0.3">
      <c r="A16" s="19" t="s">
        <v>994</v>
      </c>
      <c r="B16" s="19" t="s">
        <v>995</v>
      </c>
      <c r="C16" s="20" t="s">
        <v>998</v>
      </c>
      <c r="D16" s="21" t="s">
        <v>999</v>
      </c>
      <c r="E16" s="17">
        <v>2</v>
      </c>
      <c r="F16" s="18" t="s">
        <v>72</v>
      </c>
      <c r="G16" s="21" t="s">
        <v>1215</v>
      </c>
      <c r="H16" s="21"/>
    </row>
    <row r="17" spans="1:8" ht="30" customHeight="1" x14ac:dyDescent="0.3">
      <c r="A17" s="14" t="s">
        <v>994</v>
      </c>
      <c r="B17" s="14" t="s">
        <v>995</v>
      </c>
      <c r="C17" s="15" t="s">
        <v>1000</v>
      </c>
      <c r="D17" s="16" t="s">
        <v>1001</v>
      </c>
      <c r="E17" s="17">
        <v>2</v>
      </c>
      <c r="F17" s="18" t="s">
        <v>72</v>
      </c>
      <c r="G17" s="16" t="s">
        <v>1216</v>
      </c>
      <c r="H17" s="16"/>
    </row>
  </sheetData>
  <conditionalFormatting sqref="F2:F17">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7" xr:uid="{00000000-0002-0000-0E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6"/>
  <sheetViews>
    <sheetView zoomScale="120" zoomScaleNormal="120" workbookViewId="0">
      <pane ySplit="1" topLeftCell="A16" activePane="bottomLeft" state="frozen"/>
      <selection pane="bottomLeft" activeCell="G27" sqref="G27"/>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1002</v>
      </c>
      <c r="B2" s="13" t="s">
        <v>1003</v>
      </c>
      <c r="C2" s="13"/>
      <c r="D2" s="13"/>
      <c r="E2" s="13"/>
      <c r="F2" s="13"/>
      <c r="G2" s="13"/>
      <c r="H2" s="13"/>
    </row>
    <row r="3" spans="1:8" ht="30" customHeight="1" x14ac:dyDescent="0.3">
      <c r="A3" s="14" t="s">
        <v>1002</v>
      </c>
      <c r="B3" s="14" t="s">
        <v>1003</v>
      </c>
      <c r="C3" s="15" t="s">
        <v>1004</v>
      </c>
      <c r="D3" s="16" t="s">
        <v>1005</v>
      </c>
      <c r="E3" s="22">
        <v>1</v>
      </c>
      <c r="F3" s="18" t="s">
        <v>82</v>
      </c>
      <c r="G3" s="16" t="s">
        <v>1006</v>
      </c>
      <c r="H3" s="16" t="s">
        <v>1007</v>
      </c>
    </row>
    <row r="4" spans="1:8" ht="30" customHeight="1" x14ac:dyDescent="0.3">
      <c r="A4" s="19" t="s">
        <v>1002</v>
      </c>
      <c r="B4" s="19" t="s">
        <v>1003</v>
      </c>
      <c r="C4" s="20" t="s">
        <v>1008</v>
      </c>
      <c r="D4" s="21" t="s">
        <v>1009</v>
      </c>
      <c r="E4" s="17">
        <v>2</v>
      </c>
      <c r="F4" s="18" t="s">
        <v>82</v>
      </c>
      <c r="G4" s="21" t="s">
        <v>1010</v>
      </c>
      <c r="H4" s="21" t="s">
        <v>1011</v>
      </c>
    </row>
    <row r="5" spans="1:8" ht="30" customHeight="1" x14ac:dyDescent="0.3">
      <c r="A5" s="14" t="s">
        <v>1002</v>
      </c>
      <c r="B5" s="14" t="s">
        <v>1003</v>
      </c>
      <c r="C5" s="15" t="s">
        <v>1012</v>
      </c>
      <c r="D5" s="16" t="s">
        <v>1013</v>
      </c>
      <c r="E5" s="17">
        <v>2</v>
      </c>
      <c r="F5" s="18" t="s">
        <v>82</v>
      </c>
      <c r="G5" s="16" t="s">
        <v>1014</v>
      </c>
      <c r="H5" s="16" t="s">
        <v>1015</v>
      </c>
    </row>
    <row r="6" spans="1:8" ht="30" customHeight="1" x14ac:dyDescent="0.3">
      <c r="A6" s="19" t="s">
        <v>1002</v>
      </c>
      <c r="B6" s="19" t="s">
        <v>1003</v>
      </c>
      <c r="C6" s="20" t="s">
        <v>1016</v>
      </c>
      <c r="D6" s="21" t="s">
        <v>1017</v>
      </c>
      <c r="E6" s="23">
        <v>3</v>
      </c>
      <c r="F6" s="18" t="s">
        <v>72</v>
      </c>
      <c r="G6" s="21" t="s">
        <v>1217</v>
      </c>
      <c r="H6" s="21"/>
    </row>
    <row r="7" spans="1:8" ht="30.6" customHeight="1" x14ac:dyDescent="0.3">
      <c r="A7" s="14" t="s">
        <v>1002</v>
      </c>
      <c r="B7" s="14" t="s">
        <v>1003</v>
      </c>
      <c r="C7" s="15" t="s">
        <v>1018</v>
      </c>
      <c r="D7" s="16" t="s">
        <v>1019</v>
      </c>
      <c r="E7" s="23">
        <v>3</v>
      </c>
      <c r="F7" s="18" t="s">
        <v>72</v>
      </c>
      <c r="G7" s="16" t="s">
        <v>1218</v>
      </c>
      <c r="H7" s="16"/>
    </row>
    <row r="8" spans="1:8" ht="18" customHeight="1" x14ac:dyDescent="0.3">
      <c r="A8" s="13" t="s">
        <v>1020</v>
      </c>
      <c r="B8" s="13" t="s">
        <v>1021</v>
      </c>
      <c r="C8" s="13"/>
      <c r="D8" s="13"/>
      <c r="E8" s="13"/>
      <c r="F8" s="13"/>
      <c r="G8" s="13"/>
      <c r="H8" s="13"/>
    </row>
    <row r="9" spans="1:8" ht="30" customHeight="1" x14ac:dyDescent="0.3">
      <c r="A9" s="14" t="s">
        <v>1020</v>
      </c>
      <c r="B9" s="14" t="s">
        <v>1021</v>
      </c>
      <c r="C9" s="15" t="s">
        <v>1022</v>
      </c>
      <c r="D9" s="16" t="s">
        <v>1023</v>
      </c>
      <c r="E9" s="22">
        <v>1</v>
      </c>
      <c r="F9" s="18" t="s">
        <v>82</v>
      </c>
      <c r="G9" s="16" t="s">
        <v>1024</v>
      </c>
      <c r="H9" s="16" t="s">
        <v>1011</v>
      </c>
    </row>
    <row r="10" spans="1:8" ht="30" customHeight="1" x14ac:dyDescent="0.3">
      <c r="A10" s="19" t="s">
        <v>1020</v>
      </c>
      <c r="B10" s="19" t="s">
        <v>1021</v>
      </c>
      <c r="C10" s="20" t="s">
        <v>1025</v>
      </c>
      <c r="D10" s="21" t="s">
        <v>1026</v>
      </c>
      <c r="E10" s="17">
        <v>2</v>
      </c>
      <c r="F10" s="18" t="s">
        <v>82</v>
      </c>
      <c r="G10" s="21" t="s">
        <v>1027</v>
      </c>
      <c r="H10" s="21" t="s">
        <v>1015</v>
      </c>
    </row>
    <row r="11" spans="1:8" ht="24.6" customHeight="1" x14ac:dyDescent="0.3">
      <c r="A11" s="14" t="s">
        <v>1020</v>
      </c>
      <c r="B11" s="14" t="s">
        <v>1021</v>
      </c>
      <c r="C11" s="15" t="s">
        <v>1028</v>
      </c>
      <c r="D11" s="16" t="s">
        <v>1029</v>
      </c>
      <c r="E11" s="17">
        <v>2</v>
      </c>
      <c r="F11" s="18" t="s">
        <v>82</v>
      </c>
      <c r="G11" s="16" t="s">
        <v>1030</v>
      </c>
      <c r="H11" s="16" t="s">
        <v>616</v>
      </c>
    </row>
    <row r="12" spans="1:8" ht="30" customHeight="1" x14ac:dyDescent="0.3">
      <c r="A12" s="19" t="s">
        <v>1020</v>
      </c>
      <c r="B12" s="19" t="s">
        <v>1021</v>
      </c>
      <c r="C12" s="20" t="s">
        <v>1031</v>
      </c>
      <c r="D12" s="21" t="s">
        <v>1032</v>
      </c>
      <c r="E12" s="23">
        <v>3</v>
      </c>
      <c r="F12" s="18" t="s">
        <v>72</v>
      </c>
      <c r="G12" s="21" t="s">
        <v>1219</v>
      </c>
      <c r="H12" s="21"/>
    </row>
    <row r="13" spans="1:8" ht="30" customHeight="1" x14ac:dyDescent="0.3">
      <c r="A13" s="14" t="s">
        <v>1020</v>
      </c>
      <c r="B13" s="14" t="s">
        <v>1021</v>
      </c>
      <c r="C13" s="15" t="s">
        <v>1033</v>
      </c>
      <c r="D13" s="16" t="s">
        <v>1034</v>
      </c>
      <c r="E13" s="23">
        <v>3</v>
      </c>
      <c r="F13" s="18" t="s">
        <v>72</v>
      </c>
      <c r="G13" s="16" t="s">
        <v>1220</v>
      </c>
      <c r="H13" s="16"/>
    </row>
    <row r="14" spans="1:8" ht="18" customHeight="1" x14ac:dyDescent="0.3">
      <c r="A14" s="13" t="s">
        <v>1035</v>
      </c>
      <c r="B14" s="13" t="s">
        <v>1036</v>
      </c>
      <c r="C14" s="13"/>
      <c r="D14" s="13"/>
      <c r="E14" s="13"/>
      <c r="F14" s="13"/>
      <c r="G14" s="13"/>
      <c r="H14" s="13"/>
    </row>
    <row r="15" spans="1:8" ht="30" customHeight="1" x14ac:dyDescent="0.3">
      <c r="A15" s="14" t="s">
        <v>1035</v>
      </c>
      <c r="B15" s="14" t="s">
        <v>1036</v>
      </c>
      <c r="C15" s="15" t="s">
        <v>1037</v>
      </c>
      <c r="D15" s="16" t="s">
        <v>1038</v>
      </c>
      <c r="E15" s="22">
        <v>1</v>
      </c>
      <c r="F15" s="18" t="s">
        <v>82</v>
      </c>
      <c r="G15" s="16" t="s">
        <v>1039</v>
      </c>
      <c r="H15" s="16" t="s">
        <v>641</v>
      </c>
    </row>
    <row r="16" spans="1:8" ht="30" customHeight="1" x14ac:dyDescent="0.3">
      <c r="A16" s="19" t="s">
        <v>1035</v>
      </c>
      <c r="B16" s="19" t="s">
        <v>1036</v>
      </c>
      <c r="C16" s="20" t="s">
        <v>1040</v>
      </c>
      <c r="D16" s="21" t="s">
        <v>1041</v>
      </c>
      <c r="E16" s="17">
        <v>2</v>
      </c>
      <c r="F16" s="18" t="s">
        <v>82</v>
      </c>
      <c r="G16" s="21" t="s">
        <v>1042</v>
      </c>
      <c r="H16" s="21" t="s">
        <v>616</v>
      </c>
    </row>
    <row r="17" spans="1:8" ht="30" customHeight="1" x14ac:dyDescent="0.3">
      <c r="A17" s="14" t="s">
        <v>1035</v>
      </c>
      <c r="B17" s="14" t="s">
        <v>1036</v>
      </c>
      <c r="C17" s="15" t="s">
        <v>1043</v>
      </c>
      <c r="D17" s="16" t="s">
        <v>1044</v>
      </c>
      <c r="E17" s="17">
        <v>2</v>
      </c>
      <c r="F17" s="18" t="s">
        <v>82</v>
      </c>
      <c r="G17" s="16" t="s">
        <v>1045</v>
      </c>
      <c r="H17" s="16" t="s">
        <v>641</v>
      </c>
    </row>
    <row r="18" spans="1:8" ht="30" customHeight="1" x14ac:dyDescent="0.3">
      <c r="A18" s="19" t="s">
        <v>1035</v>
      </c>
      <c r="B18" s="19" t="s">
        <v>1036</v>
      </c>
      <c r="C18" s="20" t="s">
        <v>1046</v>
      </c>
      <c r="D18" s="21" t="s">
        <v>1047</v>
      </c>
      <c r="E18" s="17">
        <v>2</v>
      </c>
      <c r="F18" s="18" t="s">
        <v>82</v>
      </c>
      <c r="G18" s="21" t="s">
        <v>1048</v>
      </c>
      <c r="H18" s="21" t="s">
        <v>616</v>
      </c>
    </row>
    <row r="19" spans="1:8" ht="30" customHeight="1" x14ac:dyDescent="0.3">
      <c r="A19" s="14" t="s">
        <v>1035</v>
      </c>
      <c r="B19" s="14" t="s">
        <v>1036</v>
      </c>
      <c r="C19" s="15" t="s">
        <v>1049</v>
      </c>
      <c r="D19" s="16" t="s">
        <v>1050</v>
      </c>
      <c r="E19" s="17">
        <v>2</v>
      </c>
      <c r="F19" s="18" t="s">
        <v>82</v>
      </c>
      <c r="G19" s="16" t="s">
        <v>1051</v>
      </c>
      <c r="H19" s="16" t="s">
        <v>1007</v>
      </c>
    </row>
    <row r="20" spans="1:8" ht="30" customHeight="1" x14ac:dyDescent="0.3">
      <c r="A20" s="19" t="s">
        <v>1035</v>
      </c>
      <c r="B20" s="19" t="s">
        <v>1036</v>
      </c>
      <c r="C20" s="20" t="s">
        <v>1052</v>
      </c>
      <c r="D20" s="21" t="s">
        <v>1053</v>
      </c>
      <c r="E20" s="17">
        <v>2</v>
      </c>
      <c r="F20" s="18" t="s">
        <v>72</v>
      </c>
      <c r="G20" s="21" t="s">
        <v>1054</v>
      </c>
      <c r="H20" s="21"/>
    </row>
    <row r="21" spans="1:8" ht="30" customHeight="1" x14ac:dyDescent="0.3">
      <c r="A21" s="14" t="s">
        <v>1035</v>
      </c>
      <c r="B21" s="14" t="s">
        <v>1036</v>
      </c>
      <c r="C21" s="15" t="s">
        <v>1055</v>
      </c>
      <c r="D21" s="16" t="s">
        <v>1056</v>
      </c>
      <c r="E21" s="17">
        <v>2</v>
      </c>
      <c r="F21" s="18" t="s">
        <v>82</v>
      </c>
      <c r="G21" s="16" t="s">
        <v>1057</v>
      </c>
      <c r="H21" s="16" t="s">
        <v>531</v>
      </c>
    </row>
    <row r="22" spans="1:8" ht="18" customHeight="1" x14ac:dyDescent="0.3">
      <c r="A22" s="13" t="s">
        <v>1058</v>
      </c>
      <c r="B22" s="13" t="s">
        <v>1059</v>
      </c>
      <c r="C22" s="13"/>
      <c r="D22" s="13"/>
      <c r="E22" s="13"/>
      <c r="F22" s="13"/>
      <c r="G22" s="13"/>
      <c r="H22" s="13"/>
    </row>
    <row r="23" spans="1:8" ht="30" customHeight="1" x14ac:dyDescent="0.3">
      <c r="A23" s="14" t="s">
        <v>1058</v>
      </c>
      <c r="B23" s="14" t="s">
        <v>1059</v>
      </c>
      <c r="C23" s="15" t="s">
        <v>1060</v>
      </c>
      <c r="D23" s="16" t="s">
        <v>1061</v>
      </c>
      <c r="E23" s="23">
        <v>3</v>
      </c>
      <c r="F23" s="18" t="s">
        <v>82</v>
      </c>
      <c r="G23" s="16" t="s">
        <v>1221</v>
      </c>
      <c r="H23" s="16" t="s">
        <v>1007</v>
      </c>
    </row>
    <row r="24" spans="1:8" ht="30" customHeight="1" x14ac:dyDescent="0.3">
      <c r="A24" s="19" t="s">
        <v>1058</v>
      </c>
      <c r="B24" s="19" t="s">
        <v>1059</v>
      </c>
      <c r="C24" s="20" t="s">
        <v>1062</v>
      </c>
      <c r="D24" s="21" t="s">
        <v>1063</v>
      </c>
      <c r="E24" s="23">
        <v>3</v>
      </c>
      <c r="F24" s="18" t="s">
        <v>82</v>
      </c>
      <c r="G24" s="21" t="s">
        <v>1222</v>
      </c>
      <c r="H24" s="21" t="s">
        <v>1007</v>
      </c>
    </row>
    <row r="25" spans="1:8" ht="30" customHeight="1" x14ac:dyDescent="0.3">
      <c r="A25" s="14" t="s">
        <v>1058</v>
      </c>
      <c r="B25" s="14" t="s">
        <v>1059</v>
      </c>
      <c r="C25" s="15" t="s">
        <v>1064</v>
      </c>
      <c r="D25" s="16" t="s">
        <v>1065</v>
      </c>
      <c r="E25" s="23">
        <v>3</v>
      </c>
      <c r="F25" s="18" t="s">
        <v>82</v>
      </c>
      <c r="G25" s="16" t="s">
        <v>1223</v>
      </c>
      <c r="H25" s="16" t="s">
        <v>1007</v>
      </c>
    </row>
    <row r="26" spans="1:8" ht="30" customHeight="1" x14ac:dyDescent="0.3">
      <c r="A26" s="19" t="s">
        <v>1058</v>
      </c>
      <c r="B26" s="19" t="s">
        <v>1059</v>
      </c>
      <c r="C26" s="20" t="s">
        <v>1066</v>
      </c>
      <c r="D26" s="21" t="s">
        <v>1067</v>
      </c>
      <c r="E26" s="23">
        <v>3</v>
      </c>
      <c r="F26" s="18" t="s">
        <v>82</v>
      </c>
      <c r="G26" s="21" t="s">
        <v>1224</v>
      </c>
      <c r="H26" s="21" t="s">
        <v>1007</v>
      </c>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F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3"/>
  <sheetViews>
    <sheetView zoomScale="117" zoomScaleNormal="75" workbookViewId="0">
      <pane ySplit="1" topLeftCell="A11" activePane="bottomLeft" state="frozen"/>
      <selection pane="bottomLeft" activeCell="H24" sqref="H24"/>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1068</v>
      </c>
      <c r="B2" s="13" t="s">
        <v>1069</v>
      </c>
      <c r="C2" s="13"/>
      <c r="D2" s="13"/>
      <c r="E2" s="13"/>
      <c r="F2" s="13"/>
      <c r="G2" s="13"/>
      <c r="H2" s="13"/>
    </row>
    <row r="3" spans="1:8" ht="30" customHeight="1" x14ac:dyDescent="0.3">
      <c r="A3" s="14" t="s">
        <v>1068</v>
      </c>
      <c r="B3" s="14" t="s">
        <v>1069</v>
      </c>
      <c r="C3" s="15" t="s">
        <v>1070</v>
      </c>
      <c r="D3" s="16" t="s">
        <v>1071</v>
      </c>
      <c r="E3" s="17">
        <v>2</v>
      </c>
      <c r="F3" s="18" t="s">
        <v>82</v>
      </c>
      <c r="G3" s="16" t="s">
        <v>1072</v>
      </c>
      <c r="H3" s="16" t="s">
        <v>613</v>
      </c>
    </row>
    <row r="4" spans="1:8" ht="18" customHeight="1" x14ac:dyDescent="0.3">
      <c r="A4" s="13" t="s">
        <v>1073</v>
      </c>
      <c r="B4" s="13" t="s">
        <v>1074</v>
      </c>
      <c r="C4" s="13"/>
      <c r="D4" s="13"/>
      <c r="E4" s="13"/>
      <c r="F4" s="13"/>
      <c r="G4" s="13"/>
      <c r="H4" s="13"/>
    </row>
    <row r="5" spans="1:8" ht="30" customHeight="1" x14ac:dyDescent="0.3">
      <c r="A5" s="14" t="s">
        <v>1073</v>
      </c>
      <c r="B5" s="14" t="s">
        <v>1074</v>
      </c>
      <c r="C5" s="15" t="s">
        <v>1075</v>
      </c>
      <c r="D5" s="16" t="s">
        <v>1076</v>
      </c>
      <c r="E5" s="17">
        <v>2</v>
      </c>
      <c r="F5" s="18" t="s">
        <v>82</v>
      </c>
      <c r="G5" s="16" t="s">
        <v>1077</v>
      </c>
      <c r="H5" s="16" t="s">
        <v>613</v>
      </c>
    </row>
    <row r="6" spans="1:8" ht="30" customHeight="1" x14ac:dyDescent="0.3">
      <c r="A6" s="19" t="s">
        <v>1073</v>
      </c>
      <c r="B6" s="19" t="s">
        <v>1074</v>
      </c>
      <c r="C6" s="20" t="s">
        <v>1078</v>
      </c>
      <c r="D6" s="21" t="s">
        <v>1079</v>
      </c>
      <c r="E6" s="17">
        <v>2</v>
      </c>
      <c r="F6" s="18" t="s">
        <v>82</v>
      </c>
      <c r="G6" s="21" t="s">
        <v>1080</v>
      </c>
      <c r="H6" s="21" t="s">
        <v>616</v>
      </c>
    </row>
    <row r="7" spans="1:8" ht="30" customHeight="1" x14ac:dyDescent="0.3">
      <c r="A7" s="14" t="s">
        <v>1073</v>
      </c>
      <c r="B7" s="14" t="s">
        <v>1074</v>
      </c>
      <c r="C7" s="15" t="s">
        <v>1081</v>
      </c>
      <c r="D7" s="16" t="s">
        <v>1082</v>
      </c>
      <c r="E7" s="17">
        <v>2</v>
      </c>
      <c r="F7" s="18" t="s">
        <v>82</v>
      </c>
      <c r="G7" s="16" t="s">
        <v>1083</v>
      </c>
      <c r="H7" s="16" t="s">
        <v>659</v>
      </c>
    </row>
    <row r="8" spans="1:8" ht="30" customHeight="1" x14ac:dyDescent="0.3">
      <c r="A8" s="19" t="s">
        <v>1073</v>
      </c>
      <c r="B8" s="19" t="s">
        <v>1074</v>
      </c>
      <c r="C8" s="20" t="s">
        <v>1084</v>
      </c>
      <c r="D8" s="21" t="s">
        <v>1085</v>
      </c>
      <c r="E8" s="17">
        <v>2</v>
      </c>
      <c r="F8" s="18" t="s">
        <v>82</v>
      </c>
      <c r="G8" s="21" t="s">
        <v>1086</v>
      </c>
      <c r="H8" s="21" t="s">
        <v>616</v>
      </c>
    </row>
    <row r="9" spans="1:8" ht="30" customHeight="1" x14ac:dyDescent="0.3">
      <c r="A9" s="14" t="s">
        <v>1073</v>
      </c>
      <c r="B9" s="14" t="s">
        <v>1074</v>
      </c>
      <c r="C9" s="15" t="s">
        <v>1087</v>
      </c>
      <c r="D9" s="16" t="s">
        <v>1088</v>
      </c>
      <c r="E9" s="17">
        <v>2</v>
      </c>
      <c r="F9" s="18" t="s">
        <v>82</v>
      </c>
      <c r="G9" s="16" t="s">
        <v>1089</v>
      </c>
      <c r="H9" s="16" t="s">
        <v>613</v>
      </c>
    </row>
    <row r="10" spans="1:8" ht="18" customHeight="1" x14ac:dyDescent="0.3">
      <c r="A10" s="13" t="s">
        <v>1090</v>
      </c>
      <c r="B10" s="13" t="s">
        <v>1091</v>
      </c>
      <c r="C10" s="13"/>
      <c r="D10" s="13"/>
      <c r="E10" s="13"/>
      <c r="F10" s="13"/>
      <c r="G10" s="13"/>
      <c r="H10" s="13"/>
    </row>
    <row r="11" spans="1:8" ht="30" customHeight="1" x14ac:dyDescent="0.3">
      <c r="A11" s="14" t="s">
        <v>1090</v>
      </c>
      <c r="B11" s="14" t="s">
        <v>1091</v>
      </c>
      <c r="C11" s="15" t="s">
        <v>1092</v>
      </c>
      <c r="D11" s="16" t="s">
        <v>1093</v>
      </c>
      <c r="E11" s="17">
        <v>2</v>
      </c>
      <c r="F11" s="18" t="s">
        <v>82</v>
      </c>
      <c r="G11" s="16" t="s">
        <v>1094</v>
      </c>
      <c r="H11" s="16" t="s">
        <v>613</v>
      </c>
    </row>
    <row r="12" spans="1:8" ht="30" customHeight="1" x14ac:dyDescent="0.3">
      <c r="A12" s="19" t="s">
        <v>1090</v>
      </c>
      <c r="B12" s="19" t="s">
        <v>1091</v>
      </c>
      <c r="C12" s="20" t="s">
        <v>1095</v>
      </c>
      <c r="D12" s="21" t="s">
        <v>1096</v>
      </c>
      <c r="E12" s="17">
        <v>2</v>
      </c>
      <c r="F12" s="18" t="s">
        <v>82</v>
      </c>
      <c r="G12" s="21" t="s">
        <v>1097</v>
      </c>
      <c r="H12" s="21" t="s">
        <v>659</v>
      </c>
    </row>
    <row r="13" spans="1:8" ht="30" customHeight="1" x14ac:dyDescent="0.3">
      <c r="A13" s="14" t="s">
        <v>1090</v>
      </c>
      <c r="B13" s="14" t="s">
        <v>1091</v>
      </c>
      <c r="C13" s="15" t="s">
        <v>1098</v>
      </c>
      <c r="D13" s="16" t="s">
        <v>1099</v>
      </c>
      <c r="E13" s="17">
        <v>2</v>
      </c>
      <c r="F13" s="18" t="s">
        <v>82</v>
      </c>
      <c r="G13" s="16" t="s">
        <v>1100</v>
      </c>
      <c r="H13" s="16" t="s">
        <v>1101</v>
      </c>
    </row>
    <row r="14" spans="1:8" ht="30" customHeight="1" x14ac:dyDescent="0.3">
      <c r="A14" s="19" t="s">
        <v>1090</v>
      </c>
      <c r="B14" s="19" t="s">
        <v>1091</v>
      </c>
      <c r="C14" s="20" t="s">
        <v>1102</v>
      </c>
      <c r="D14" s="21" t="s">
        <v>1103</v>
      </c>
      <c r="E14" s="17">
        <v>2</v>
      </c>
      <c r="F14" s="18" t="s">
        <v>82</v>
      </c>
      <c r="G14" s="21" t="s">
        <v>1104</v>
      </c>
      <c r="H14" s="21" t="s">
        <v>659</v>
      </c>
    </row>
    <row r="15" spans="1:8" ht="18" customHeight="1" x14ac:dyDescent="0.3">
      <c r="A15" s="13" t="s">
        <v>1105</v>
      </c>
      <c r="B15" s="13" t="s">
        <v>1106</v>
      </c>
      <c r="C15" s="13"/>
      <c r="D15" s="13"/>
      <c r="E15" s="13"/>
      <c r="F15" s="13"/>
      <c r="G15" s="13"/>
      <c r="H15" s="13"/>
    </row>
    <row r="16" spans="1:8" ht="30" customHeight="1" x14ac:dyDescent="0.3">
      <c r="A16" s="14" t="s">
        <v>1105</v>
      </c>
      <c r="B16" s="14" t="s">
        <v>1106</v>
      </c>
      <c r="C16" s="15" t="s">
        <v>1107</v>
      </c>
      <c r="D16" s="16" t="s">
        <v>1108</v>
      </c>
      <c r="E16" s="17">
        <v>2</v>
      </c>
      <c r="F16" s="18" t="s">
        <v>82</v>
      </c>
      <c r="G16" s="16" t="s">
        <v>1109</v>
      </c>
      <c r="H16" s="16" t="s">
        <v>1007</v>
      </c>
    </row>
    <row r="17" spans="1:8" ht="30" customHeight="1" x14ac:dyDescent="0.3">
      <c r="A17" s="19" t="s">
        <v>1105</v>
      </c>
      <c r="B17" s="19" t="s">
        <v>1106</v>
      </c>
      <c r="C17" s="20" t="s">
        <v>1110</v>
      </c>
      <c r="D17" s="21" t="s">
        <v>1111</v>
      </c>
      <c r="E17" s="17">
        <v>2</v>
      </c>
      <c r="F17" s="18" t="s">
        <v>82</v>
      </c>
      <c r="G17" s="21" t="s">
        <v>1112</v>
      </c>
      <c r="H17" s="21" t="s">
        <v>616</v>
      </c>
    </row>
    <row r="18" spans="1:8" ht="30" customHeight="1" x14ac:dyDescent="0.3">
      <c r="A18" s="14" t="s">
        <v>1105</v>
      </c>
      <c r="B18" s="14" t="s">
        <v>1106</v>
      </c>
      <c r="C18" s="15" t="s">
        <v>1113</v>
      </c>
      <c r="D18" s="16" t="s">
        <v>1114</v>
      </c>
      <c r="E18" s="17">
        <v>2</v>
      </c>
      <c r="F18" s="18" t="s">
        <v>82</v>
      </c>
      <c r="G18" s="16" t="s">
        <v>1115</v>
      </c>
      <c r="H18" s="16" t="s">
        <v>616</v>
      </c>
    </row>
    <row r="19" spans="1:8" ht="18" customHeight="1" x14ac:dyDescent="0.3">
      <c r="A19" s="13" t="s">
        <v>1116</v>
      </c>
      <c r="B19" s="13" t="s">
        <v>1117</v>
      </c>
      <c r="C19" s="13"/>
      <c r="D19" s="13"/>
      <c r="E19" s="13"/>
      <c r="F19" s="13"/>
      <c r="G19" s="13"/>
      <c r="H19" s="13"/>
    </row>
    <row r="20" spans="1:8" ht="30" customHeight="1" x14ac:dyDescent="0.3">
      <c r="A20" s="14" t="s">
        <v>1116</v>
      </c>
      <c r="B20" s="14" t="s">
        <v>1117</v>
      </c>
      <c r="C20" s="15" t="s">
        <v>1118</v>
      </c>
      <c r="D20" s="16" t="s">
        <v>1119</v>
      </c>
      <c r="E20" s="17">
        <v>2</v>
      </c>
      <c r="F20" s="18" t="s">
        <v>82</v>
      </c>
      <c r="G20" s="16" t="s">
        <v>1120</v>
      </c>
      <c r="H20" s="16" t="s">
        <v>1121</v>
      </c>
    </row>
    <row r="21" spans="1:8" ht="30" customHeight="1" x14ac:dyDescent="0.3">
      <c r="A21" s="19" t="s">
        <v>1116</v>
      </c>
      <c r="B21" s="19" t="s">
        <v>1117</v>
      </c>
      <c r="C21" s="20" t="s">
        <v>1122</v>
      </c>
      <c r="D21" s="21" t="s">
        <v>1123</v>
      </c>
      <c r="E21" s="17">
        <v>2</v>
      </c>
      <c r="F21" s="18" t="s">
        <v>82</v>
      </c>
      <c r="G21" s="21" t="s">
        <v>1124</v>
      </c>
      <c r="H21" s="21" t="s">
        <v>1015</v>
      </c>
    </row>
    <row r="22" spans="1:8" ht="30" customHeight="1" x14ac:dyDescent="0.3">
      <c r="A22" s="14" t="s">
        <v>1116</v>
      </c>
      <c r="B22" s="14" t="s">
        <v>1117</v>
      </c>
      <c r="C22" s="15" t="s">
        <v>1125</v>
      </c>
      <c r="D22" s="16" t="s">
        <v>1126</v>
      </c>
      <c r="E22" s="17">
        <v>2</v>
      </c>
      <c r="F22" s="18" t="s">
        <v>82</v>
      </c>
      <c r="G22" s="16" t="s">
        <v>1127</v>
      </c>
      <c r="H22" s="16" t="s">
        <v>1128</v>
      </c>
    </row>
    <row r="23" spans="1:8" ht="30" customHeight="1" x14ac:dyDescent="0.3">
      <c r="A23" s="19" t="s">
        <v>1116</v>
      </c>
      <c r="B23" s="19" t="s">
        <v>1117</v>
      </c>
      <c r="C23" s="20" t="s">
        <v>1129</v>
      </c>
      <c r="D23" s="21" t="s">
        <v>1130</v>
      </c>
      <c r="E23" s="23">
        <v>3</v>
      </c>
      <c r="F23" s="18" t="s">
        <v>82</v>
      </c>
      <c r="G23" s="21" t="s">
        <v>1225</v>
      </c>
      <c r="H23" s="21" t="s">
        <v>1128</v>
      </c>
    </row>
  </sheetData>
  <conditionalFormatting sqref="F2:F23">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3" xr:uid="{00000000-0002-0000-10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6"/>
  <sheetViews>
    <sheetView zoomScale="75" zoomScaleNormal="75" workbookViewId="0">
      <pane ySplit="1" topLeftCell="A2" activePane="bottomLeft" state="frozen"/>
      <selection pane="bottomLeft" activeCell="M16" sqref="M16"/>
    </sheetView>
  </sheetViews>
  <sheetFormatPr defaultColWidth="8.5546875" defaultRowHeight="14.4" x14ac:dyDescent="0.3"/>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05" customHeight="1" x14ac:dyDescent="0.3">
      <c r="A1" s="12" t="s">
        <v>33</v>
      </c>
      <c r="B1" s="12" t="s">
        <v>34</v>
      </c>
      <c r="C1" s="12" t="s">
        <v>35</v>
      </c>
      <c r="D1" s="12" t="s">
        <v>36</v>
      </c>
      <c r="E1" s="12" t="s">
        <v>37</v>
      </c>
      <c r="F1" s="12" t="s">
        <v>38</v>
      </c>
      <c r="G1" s="12" t="s">
        <v>39</v>
      </c>
      <c r="H1" s="12" t="s">
        <v>40</v>
      </c>
    </row>
    <row r="2" spans="1:8" ht="18" customHeight="1" x14ac:dyDescent="0.3">
      <c r="A2" s="13" t="s">
        <v>1131</v>
      </c>
      <c r="B2" s="13" t="s">
        <v>1132</v>
      </c>
      <c r="C2" s="13"/>
      <c r="D2" s="13"/>
      <c r="E2" s="13"/>
      <c r="F2" s="13"/>
      <c r="G2" s="13"/>
      <c r="H2" s="13"/>
    </row>
    <row r="3" spans="1:8" ht="30" customHeight="1" x14ac:dyDescent="0.3">
      <c r="A3" s="14" t="s">
        <v>1131</v>
      </c>
      <c r="B3" s="14" t="s">
        <v>1132</v>
      </c>
      <c r="C3" s="15" t="s">
        <v>1133</v>
      </c>
      <c r="D3" s="16" t="s">
        <v>1134</v>
      </c>
      <c r="E3" s="17">
        <v>2</v>
      </c>
      <c r="F3" s="18" t="s">
        <v>72</v>
      </c>
      <c r="G3" s="16" t="s">
        <v>526</v>
      </c>
      <c r="H3" s="16"/>
    </row>
    <row r="4" spans="1:8" ht="30" customHeight="1" x14ac:dyDescent="0.3">
      <c r="A4" s="19" t="s">
        <v>1131</v>
      </c>
      <c r="B4" s="19" t="s">
        <v>1132</v>
      </c>
      <c r="C4" s="20" t="s">
        <v>1135</v>
      </c>
      <c r="D4" s="21" t="s">
        <v>1136</v>
      </c>
      <c r="E4" s="23">
        <v>3</v>
      </c>
      <c r="F4" s="18" t="s">
        <v>72</v>
      </c>
      <c r="G4" s="16" t="s">
        <v>526</v>
      </c>
      <c r="H4" s="21"/>
    </row>
    <row r="5" spans="1:8" ht="18" customHeight="1" x14ac:dyDescent="0.3">
      <c r="A5" s="13" t="s">
        <v>1137</v>
      </c>
      <c r="B5" s="13" t="s">
        <v>1138</v>
      </c>
      <c r="C5" s="13"/>
      <c r="D5" s="13"/>
      <c r="E5" s="13"/>
      <c r="F5" s="13"/>
      <c r="G5" s="13"/>
      <c r="H5" s="13"/>
    </row>
    <row r="6" spans="1:8" ht="30" customHeight="1" x14ac:dyDescent="0.3">
      <c r="A6" s="14" t="s">
        <v>1137</v>
      </c>
      <c r="B6" s="14" t="s">
        <v>1138</v>
      </c>
      <c r="C6" s="15" t="s">
        <v>1139</v>
      </c>
      <c r="D6" s="16" t="s">
        <v>1140</v>
      </c>
      <c r="E6" s="17">
        <v>2</v>
      </c>
      <c r="F6" s="18" t="s">
        <v>72</v>
      </c>
      <c r="G6" s="16" t="s">
        <v>526</v>
      </c>
      <c r="H6" s="16"/>
    </row>
    <row r="7" spans="1:8" ht="30" customHeight="1" x14ac:dyDescent="0.3">
      <c r="A7" s="19" t="s">
        <v>1137</v>
      </c>
      <c r="B7" s="19" t="s">
        <v>1138</v>
      </c>
      <c r="C7" s="20" t="s">
        <v>1141</v>
      </c>
      <c r="D7" s="21" t="s">
        <v>1142</v>
      </c>
      <c r="E7" s="17">
        <v>2</v>
      </c>
      <c r="F7" s="18" t="s">
        <v>72</v>
      </c>
      <c r="G7" s="16" t="s">
        <v>526</v>
      </c>
      <c r="H7" s="21"/>
    </row>
    <row r="8" spans="1:8" ht="30" customHeight="1" x14ac:dyDescent="0.3">
      <c r="A8" s="14" t="s">
        <v>1137</v>
      </c>
      <c r="B8" s="14" t="s">
        <v>1138</v>
      </c>
      <c r="C8" s="15" t="s">
        <v>1143</v>
      </c>
      <c r="D8" s="16" t="s">
        <v>1144</v>
      </c>
      <c r="E8" s="17">
        <v>2</v>
      </c>
      <c r="F8" s="18" t="s">
        <v>72</v>
      </c>
      <c r="G8" s="16" t="s">
        <v>526</v>
      </c>
      <c r="H8" s="16"/>
    </row>
    <row r="9" spans="1:8" ht="30" customHeight="1" x14ac:dyDescent="0.3">
      <c r="A9" s="19" t="s">
        <v>1137</v>
      </c>
      <c r="B9" s="19" t="s">
        <v>1138</v>
      </c>
      <c r="C9" s="20" t="s">
        <v>1145</v>
      </c>
      <c r="D9" s="21" t="s">
        <v>1146</v>
      </c>
      <c r="E9" s="17">
        <v>2</v>
      </c>
      <c r="F9" s="18" t="s">
        <v>72</v>
      </c>
      <c r="G9" s="16" t="s">
        <v>526</v>
      </c>
      <c r="H9" s="21"/>
    </row>
    <row r="10" spans="1:8" ht="30" customHeight="1" x14ac:dyDescent="0.3">
      <c r="A10" s="14" t="s">
        <v>1137</v>
      </c>
      <c r="B10" s="14" t="s">
        <v>1138</v>
      </c>
      <c r="C10" s="15" t="s">
        <v>1147</v>
      </c>
      <c r="D10" s="16" t="s">
        <v>1148</v>
      </c>
      <c r="E10" s="23">
        <v>3</v>
      </c>
      <c r="F10" s="18" t="s">
        <v>72</v>
      </c>
      <c r="G10" s="16" t="s">
        <v>526</v>
      </c>
      <c r="H10" s="16"/>
    </row>
    <row r="11" spans="1:8" ht="30" customHeight="1" x14ac:dyDescent="0.3">
      <c r="A11" s="19" t="s">
        <v>1137</v>
      </c>
      <c r="B11" s="19" t="s">
        <v>1138</v>
      </c>
      <c r="C11" s="20" t="s">
        <v>1149</v>
      </c>
      <c r="D11" s="21" t="s">
        <v>1150</v>
      </c>
      <c r="E11" s="23">
        <v>3</v>
      </c>
      <c r="F11" s="18" t="s">
        <v>72</v>
      </c>
      <c r="G11" s="16" t="s">
        <v>526</v>
      </c>
      <c r="H11" s="21"/>
    </row>
    <row r="12" spans="1:8" ht="30" customHeight="1" x14ac:dyDescent="0.3">
      <c r="A12" s="14" t="s">
        <v>1137</v>
      </c>
      <c r="B12" s="14" t="s">
        <v>1138</v>
      </c>
      <c r="C12" s="15" t="s">
        <v>1151</v>
      </c>
      <c r="D12" s="16" t="s">
        <v>1152</v>
      </c>
      <c r="E12" s="23">
        <v>3</v>
      </c>
      <c r="F12" s="18" t="s">
        <v>72</v>
      </c>
      <c r="G12" s="16" t="s">
        <v>526</v>
      </c>
      <c r="H12" s="16"/>
    </row>
    <row r="13" spans="1:8" ht="30" customHeight="1" x14ac:dyDescent="0.3">
      <c r="A13" s="19" t="s">
        <v>1137</v>
      </c>
      <c r="B13" s="19" t="s">
        <v>1138</v>
      </c>
      <c r="C13" s="20" t="s">
        <v>1153</v>
      </c>
      <c r="D13" s="21" t="s">
        <v>1154</v>
      </c>
      <c r="E13" s="23">
        <v>3</v>
      </c>
      <c r="F13" s="18" t="s">
        <v>72</v>
      </c>
      <c r="G13" s="16" t="s">
        <v>526</v>
      </c>
      <c r="H13" s="21"/>
    </row>
    <row r="14" spans="1:8" ht="18" customHeight="1" x14ac:dyDescent="0.3">
      <c r="A14" s="13" t="s">
        <v>1155</v>
      </c>
      <c r="B14" s="13" t="s">
        <v>1156</v>
      </c>
      <c r="C14" s="13"/>
      <c r="D14" s="13"/>
      <c r="E14" s="13"/>
      <c r="F14" s="13"/>
      <c r="G14" s="13"/>
      <c r="H14" s="13"/>
    </row>
    <row r="15" spans="1:8" ht="30" customHeight="1" x14ac:dyDescent="0.3">
      <c r="A15" s="14" t="s">
        <v>1155</v>
      </c>
      <c r="B15" s="14" t="s">
        <v>1156</v>
      </c>
      <c r="C15" s="15" t="s">
        <v>1157</v>
      </c>
      <c r="D15" s="16" t="s">
        <v>1158</v>
      </c>
      <c r="E15" s="17">
        <v>2</v>
      </c>
      <c r="F15" s="18" t="s">
        <v>72</v>
      </c>
      <c r="G15" s="16" t="s">
        <v>526</v>
      </c>
      <c r="H15" s="16"/>
    </row>
    <row r="16" spans="1:8" ht="30" customHeight="1" x14ac:dyDescent="0.3">
      <c r="A16" s="19" t="s">
        <v>1155</v>
      </c>
      <c r="B16" s="19" t="s">
        <v>1156</v>
      </c>
      <c r="C16" s="20" t="s">
        <v>1159</v>
      </c>
      <c r="D16" s="21" t="s">
        <v>1160</v>
      </c>
      <c r="E16" s="17">
        <v>2</v>
      </c>
      <c r="F16" s="18" t="s">
        <v>72</v>
      </c>
      <c r="G16" s="16" t="s">
        <v>526</v>
      </c>
      <c r="H16" s="21"/>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1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docMetadata/LabelInfo.xml><?xml version="1.0" encoding="utf-8"?>
<clbl:labelList xmlns:clbl="http://schemas.microsoft.com/office/2020/mipLabelMetadata">
  <clbl:label id="{c38a7698-8e68-42a1-be26-3c613a1a68a9}" enabled="1" method="Standard" siteId="{d8534ede-19b2-425f-81f7-49a3b5cbbf0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18</vt:i4>
      </vt:variant>
    </vt:vector>
  </HeadingPairs>
  <TitlesOfParts>
    <vt:vector size="18" baseType="lpstr">
      <vt:lpstr>Summary</vt:lpstr>
      <vt:lpstr>V1 - Encoding and Sanitization</vt:lpstr>
      <vt:lpstr>V2 - Validation and Business Lo</vt:lpstr>
      <vt:lpstr>V3 - Web Frontend Security</vt:lpstr>
      <vt:lpstr>V4 - API and Web Service</vt:lpstr>
      <vt:lpstr>V5 - File Handling</vt:lpstr>
      <vt:lpstr>V6 - Authentication</vt:lpstr>
      <vt:lpstr>V7 - Session Management</vt:lpstr>
      <vt:lpstr>V8 - Authorization</vt:lpstr>
      <vt:lpstr>V9 - Self-contained Tokens</vt:lpstr>
      <vt:lpstr>V10 - OAuth and OIDC</vt:lpstr>
      <vt:lpstr>V11 - Cryptography</vt:lpstr>
      <vt:lpstr>V12 - Secure Communication</vt:lpstr>
      <vt:lpstr>V13 - Configuration</vt:lpstr>
      <vt:lpstr>V14 - Data Protection</vt:lpstr>
      <vt:lpstr>V15 - Secure Coding and Archite</vt:lpstr>
      <vt:lpstr>V16 - Security Logging and Erro</vt:lpstr>
      <vt:lpstr>V17 - WebRTC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Diogo Ribeiro</cp:lastModifiedBy>
  <cp:revision>3</cp:revision>
  <dcterms:created xsi:type="dcterms:W3CDTF">2026-03-04T10:14:28Z</dcterms:created>
  <dcterms:modified xsi:type="dcterms:W3CDTF">2026-04-19T11:35:51Z</dcterms:modified>
  <dc:language>pt-PT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y fmtid="{D5CDD505-2E9C-101B-9397-08002B2CF9AE}" pid="3" name="ContentTypeId">
    <vt:lpwstr>0x01010076764391778E2B4FBABC02A2DE5CC80E</vt:lpwstr>
  </property>
</Properties>
</file>