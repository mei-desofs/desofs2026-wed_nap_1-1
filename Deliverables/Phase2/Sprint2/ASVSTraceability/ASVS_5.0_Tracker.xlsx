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Utilizador\OneDrive\Ambiente de Trabalho\Faculdade\Mestrado\1º Ano\2º Semestre\DESOFS\desofs2026-wed_nap_1-1\Deliverables\Phase2\Sprint2\ASVSTraceability\"/>
    </mc:Choice>
  </mc:AlternateContent>
  <xr:revisionPtr revIDLastSave="0" documentId="13_ncr:1_{B787FCB1-88BD-4816-B494-6556112202C1}" xr6:coauthVersionLast="47" xr6:coauthVersionMax="47" xr10:uidLastSave="{00000000-0000-0000-0000-000000000000}"/>
  <bookViews>
    <workbookView xWindow="57480" yWindow="-120" windowWidth="29040" windowHeight="15720" tabRatio="500" firstSheet="13" activeTab="16"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 i="1" l="1"/>
  <c r="F23" i="1"/>
  <c r="C23" i="1"/>
  <c r="B23" i="1"/>
  <c r="L22" i="1"/>
  <c r="M22" i="1" s="1"/>
  <c r="J22" i="1"/>
  <c r="K22" i="1" s="1"/>
  <c r="G22" i="1"/>
  <c r="H22" i="1" s="1"/>
  <c r="L21" i="1"/>
  <c r="M21" i="1" s="1"/>
  <c r="J21" i="1"/>
  <c r="K21" i="1" s="1"/>
  <c r="G21" i="1"/>
  <c r="H21" i="1" s="1"/>
  <c r="L20" i="1"/>
  <c r="M20" i="1" s="1"/>
  <c r="J20" i="1"/>
  <c r="K20" i="1" s="1"/>
  <c r="G20" i="1"/>
  <c r="H20" i="1" s="1"/>
  <c r="D20" i="1"/>
  <c r="L19" i="1"/>
  <c r="M19" i="1" s="1"/>
  <c r="J19" i="1"/>
  <c r="K19" i="1" s="1"/>
  <c r="G19" i="1"/>
  <c r="H19" i="1" s="1"/>
  <c r="D19" i="1"/>
  <c r="E19" i="1" s="1"/>
  <c r="L18" i="1"/>
  <c r="M18" i="1" s="1"/>
  <c r="J18" i="1"/>
  <c r="K18" i="1" s="1"/>
  <c r="G18" i="1"/>
  <c r="H18" i="1" s="1"/>
  <c r="D18" i="1"/>
  <c r="E18" i="1" s="1"/>
  <c r="L17" i="1"/>
  <c r="M17" i="1" s="1"/>
  <c r="J17" i="1"/>
  <c r="K17" i="1" s="1"/>
  <c r="G17" i="1"/>
  <c r="H17" i="1" s="1"/>
  <c r="D17" i="1"/>
  <c r="E17" i="1" s="1"/>
  <c r="L16" i="1"/>
  <c r="M16" i="1" s="1"/>
  <c r="J16" i="1"/>
  <c r="K16" i="1" s="1"/>
  <c r="G16" i="1"/>
  <c r="H16" i="1" s="1"/>
  <c r="D16" i="1"/>
  <c r="E16" i="1" s="1"/>
  <c r="L15" i="1"/>
  <c r="M15" i="1" s="1"/>
  <c r="J15" i="1"/>
  <c r="K15" i="1" s="1"/>
  <c r="G15" i="1"/>
  <c r="H15" i="1" s="1"/>
  <c r="D15" i="1"/>
  <c r="E15" i="1" s="1"/>
  <c r="L14" i="1"/>
  <c r="M14" i="1" s="1"/>
  <c r="G14" i="1"/>
  <c r="H14" i="1" s="1"/>
  <c r="D14" i="1"/>
  <c r="E14" i="1" s="1"/>
  <c r="L13" i="1"/>
  <c r="M13" i="1" s="1"/>
  <c r="J13" i="1"/>
  <c r="K13" i="1" s="1"/>
  <c r="G13" i="1"/>
  <c r="H13" i="1" s="1"/>
  <c r="D13" i="1"/>
  <c r="E13" i="1" s="1"/>
  <c r="L12" i="1"/>
  <c r="M12" i="1" s="1"/>
  <c r="J12" i="1"/>
  <c r="K12" i="1" s="1"/>
  <c r="G12" i="1"/>
  <c r="H12" i="1" s="1"/>
  <c r="D12" i="1"/>
  <c r="E12" i="1" s="1"/>
  <c r="L11" i="1"/>
  <c r="M11" i="1" s="1"/>
  <c r="J11" i="1"/>
  <c r="K11" i="1" s="1"/>
  <c r="G11" i="1"/>
  <c r="H11" i="1" s="1"/>
  <c r="D11" i="1"/>
  <c r="E11" i="1" s="1"/>
  <c r="M10" i="1"/>
  <c r="L10" i="1"/>
  <c r="J10" i="1"/>
  <c r="K10" i="1" s="1"/>
  <c r="G10" i="1"/>
  <c r="H10" i="1" s="1"/>
  <c r="D10" i="1"/>
  <c r="E10" i="1" s="1"/>
  <c r="L9" i="1"/>
  <c r="M9" i="1" s="1"/>
  <c r="J9" i="1"/>
  <c r="K9" i="1" s="1"/>
  <c r="G9" i="1"/>
  <c r="H9" i="1" s="1"/>
  <c r="D9" i="1"/>
  <c r="E9" i="1" s="1"/>
  <c r="L8" i="1"/>
  <c r="M8" i="1" s="1"/>
  <c r="J8" i="1"/>
  <c r="K8" i="1" s="1"/>
  <c r="G8" i="1"/>
  <c r="H8" i="1" s="1"/>
  <c r="D8" i="1"/>
  <c r="E8" i="1" s="1"/>
  <c r="L7" i="1"/>
  <c r="M7" i="1" s="1"/>
  <c r="J7" i="1"/>
  <c r="K7" i="1" s="1"/>
  <c r="G7" i="1"/>
  <c r="H7" i="1" s="1"/>
  <c r="D7" i="1"/>
  <c r="E7" i="1" s="1"/>
  <c r="L6" i="1"/>
  <c r="M6" i="1" s="1"/>
  <c r="J6" i="1"/>
  <c r="G6" i="1"/>
  <c r="H6" i="1" s="1"/>
  <c r="D6" i="1"/>
  <c r="E6" i="1" s="1"/>
  <c r="J23" i="1" l="1"/>
  <c r="L23" i="1"/>
  <c r="G23" i="1"/>
  <c r="D23" i="1"/>
  <c r="H23" i="1"/>
  <c r="M23" i="1"/>
  <c r="E20" i="1"/>
  <c r="E23" i="1" s="1"/>
  <c r="K6" i="1"/>
  <c r="K23" i="1" s="1"/>
</calcChain>
</file>

<file path=xl/sharedStrings.xml><?xml version="1.0" encoding="utf-8"?>
<sst xmlns="http://schemas.openxmlformats.org/spreadsheetml/2006/main" count="2542" uniqueCount="1246">
  <si>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</si>
  <si>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</si>
  <si>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</si>
  <si>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</si>
  <si>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</si>
  <si>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</si>
  <si>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</si>
  <si>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</si>
  <si>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</si>
  <si>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</si>
  <si>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</si>
  <si>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</si>
  <si>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</si>
  <si>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</si>
  <si>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</si>
  <si>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</si>
  <si>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</si>
  <si>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</si>
  <si>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</si>
  <si>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</si>
  <si>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</si>
  <si>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</si>
  <si>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</si>
  <si>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</si>
  <si>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</si>
  <si>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</si>
  <si>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</si>
  <si>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</si>
  <si>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</si>
  <si>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</si>
  <si>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</si>
  <si>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</si>
  <si>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</si>
  <si>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</si>
  <si>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</si>
  <si>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</si>
  <si>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</si>
  <si>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</si>
  <si>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</si>
  <si>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</si>
  <si>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</si>
  <si>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</si>
  <si>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</si>
  <si>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</si>
  <si>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</si>
  <si>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V1.1.2</t>
  </si>
  <si>
    <t>Verify that the application performs output encoding and escaping either as a final step before being used by the interpreter for which it is intended or by the interpreter itself.</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</si>
  <si>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</si>
  <si>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</si>
  <si>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</si>
  <si>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</si>
  <si>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V1.2.2</t>
  </si>
  <si>
    <t>Verify that when dynamically building URLs, untrusted data is encoded according to its context (e.g., URL encoding or base64url encoding for query or path parameters). Ensure that only safe URL protocols are permitted (e.g., disallow javascript: or data:).</t>
  </si>
  <si>
    <t>V1.2.3</t>
  </si>
  <si>
    <t>Verify that output encoding or escaping is used when dynamically building JavaScript content (including JSON), to avoid changing the message or document structure (to avoid JavaScript and JSON injection).</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</si>
  <si>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</si>
  <si>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</si>
  <si>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V1.2.5</t>
  </si>
  <si>
    <t>Verify that the application protects against OS command injection and that operating system calls use parameterized OS queries or use contextual command line output encoding.</t>
  </si>
  <si>
    <t>Section 3.3 (Data &amp; Communication Integrity) and Section 4 (Functional Security Requirements), domainAnalysisAndRequirements.md</t>
  </si>
  <si>
    <t>V1.2.6</t>
  </si>
  <si>
    <t>Verify that the application protects against LDAP injection vulnerabilities, or that specific security controls to prevent LDAP injection have been implemented.</t>
  </si>
  <si>
    <t>Not Applicable</t>
  </si>
  <si>
    <t>The application does not directly use LDAP for authentication, authorization, or querying. Authentication is delegated to an external authentication API, and no LDAP queries are constructed or processed within the system. Therefore, LDAP injection is not applicable to this application.</t>
  </si>
  <si>
    <t>V1.2.7</t>
  </si>
  <si>
    <t>Verify that the application is protected against XPath injection attacks by using query parameterization or precompiled queries.</t>
  </si>
  <si>
    <t>The application does not use XML processing or XPath queries. All data exchange is performed using JSON over HTTP, and no XML-based technologies are used within the system. Therefore, XPath injection is not applicable.</t>
  </si>
  <si>
    <t>V1.2.8</t>
  </si>
  <si>
    <t>Verify that LaTeX processors are configured securely (such as not using the "--shell-escape" flag) and an allowlist of commands is used to prevent LaTeX injection attacks.</t>
  </si>
  <si>
    <t>The application does not use LaTeX processing or rendering, and no functionality involves generating or interpreting LaTeX content. Therefore, LaTeX injection is not applicable to the system.</t>
  </si>
  <si>
    <t>V1.2.9</t>
  </si>
  <si>
    <t>Verify that the application escapes special characters in regular expressions (typically using a backslash) to prevent them from being misinterpreted as metacharacters.</t>
  </si>
  <si>
    <t>Compliant</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</si>
  <si>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</si>
  <si>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</si>
  <si>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The application does not provide functionality to export data in CSV, XLSX, or other spreadsheet formats, and no such features are planned within the defined use cases. Therefore, CSV and formula injection risks are not applicable.</t>
  </si>
  <si>
    <t>V1.3</t>
  </si>
  <si>
    <t>Sanitization</t>
  </si>
  <si>
    <t>V1.3.1</t>
  </si>
  <si>
    <t>Verify that all untrusted HTML input from WYSIWYG editors or similar is sanitized using a well-known and secure HTML sanitization library or framework feature.</t>
  </si>
  <si>
    <t>The application does not accept or process HTML input from users. All user input is treated as plain text and validated accordingly. No WYSIWYG editors or rich text inputs are used. Therefore, HTML sanitization is not applicable.</t>
  </si>
  <si>
    <t>V1.3.2</t>
  </si>
  <si>
    <t>Verify that the application avoids the use of eval() or other dynamic code execution features such as Spring Expression Language (SpEL). Where there is no alternative, any user input being included must be sanitized before being executed.</t>
  </si>
  <si>
    <t>V1.3.3</t>
  </si>
  <si>
    <t>Verify that data being passed to a potentially dangerous context is sanitized beforehand to enforce safety measures, such as only allowing characters which are safe for this context and trimming input which is too long.</t>
  </si>
  <si>
    <t>V1.3.4</t>
  </si>
  <si>
    <t>Verify that user-supplied Scalable Vector Graphics (SVG) scriptable content is validated or sanitized to contain only tags and attributes (such as draw graphics) that are safe for the application, e.g., do not contain scripts and foreignObject.</t>
  </si>
  <si>
    <t>The application does not accept or process user-supplied SVG content. No file upload or rendering functionality involving SVG images is provided. Therefore, SVG sanitization is not applicable.</t>
  </si>
  <si>
    <t>V1.3.5</t>
  </si>
  <si>
    <t>Verify that the application sanitizes or disables user-supplied scriptable or expression template language content, such as Markdown, CSS or XSL stylesheets, BBCode, or similar.</t>
  </si>
  <si>
    <t>The application does not accept or process user-supplied content in formats such as Markdown, CSS, XSLT, BBCode, or other template/expression languages. No functionality allows users to define or submit executable or scriptable content. Therefore, injection risks related to these technologies are not applicable.</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</si>
  <si>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</si>
  <si>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</si>
  <si>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</si>
  <si>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</si>
  <si>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The application does not use template engines or dynamically generate templates based on user input. All responses are returned as structured JSON data, and no server-side rendering or template processing is performed. Therefore, template injection risks are not applicable.</t>
  </si>
  <si>
    <t>V1.3.8</t>
  </si>
  <si>
    <t>Verify that the application appropriately sanitizes untrusted input before use in Java Naming and Directory Interface (JNDI) queries and that JNDI is configured securely to prevent JNDI injection attacks.</t>
  </si>
  <si>
    <t>The application does not use Java Naming and Directory Interface (JNDI) for directory lookups, resource resolution, or external service access. No user input is used in JNDI contexts, and no JNDI-based queries are performed. Therefore, JNDI injection risks are not applicable.</t>
  </si>
  <si>
    <t>V1.3.9</t>
  </si>
  <si>
    <t>Verify that the application sanitizes content before it is sent to memcache to prevent injection attacks.</t>
  </si>
  <si>
    <t>The application does not use memcache or any distributed caching mechanisms. Therefore, no untrusted input is sent to caching systems, and memcache injection risks are not applicable.</t>
  </si>
  <si>
    <t>V1.3.10</t>
  </si>
  <si>
    <t>Verify that format strings which might resolve in an unexpected or malicious way when used are sanitized before being processed.</t>
  </si>
  <si>
    <t>V1.3.11</t>
  </si>
  <si>
    <t>Verify that the application sanitizes user input before passing to mail systems to protect against SMTP or IMAP injection.</t>
  </si>
  <si>
    <t>The application does not implement or integrate with email systems for sending user-generated content. Therefore, SMTP/IMAP injection risks are not applicable.</t>
  </si>
  <si>
    <t>V1.3.12</t>
  </si>
  <si>
    <t>Verify that regular expressions are free from elements causing exponential backtracking, and ensure untrusted input is sanitized to mitigate ReDoS or Runaway Regex attacks.</t>
  </si>
  <si>
    <t>V1.4</t>
  </si>
  <si>
    <t>Memory, String, and Unmanaged Code</t>
  </si>
  <si>
    <t>V1.4.1</t>
  </si>
  <si>
    <t>Verify that the application uses memory-safe string, safer memory copy and pointer arithmetic to detect or prevent stack, buffer, or heap overflows.</t>
  </si>
  <si>
    <t>V1.4.2</t>
  </si>
  <si>
    <t>Verify that sign, range, and input validation techniques are used to prevent integer overflows.</t>
  </si>
  <si>
    <t>V1.4.3</t>
  </si>
  <si>
    <t>Verify that dynamically allocated memory and resources are released, and that references or pointers to freed memory are removed or set to null to prevent dangling pointers and use-after-free vulnerabilities.</t>
  </si>
  <si>
    <t>V1.5</t>
  </si>
  <si>
    <t>Safe Deserialization</t>
  </si>
  <si>
    <t>V1.5.1</t>
  </si>
  <si>
    <t>Verify that the application configures XML parsers to use a restrictive configuration and that unsafe features such as resolving external entities are disabled to prevent XML eXternal Entity (XXE) attacks.</t>
  </si>
  <si>
    <t>The application does not process or accept XML input. All data exchange is performed using JSON over HTTP, and no XML parsers or XML-based technologies are used within the system. Therefore, XML External Entity (XXE) injection risks are not applicable.</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</si>
  <si>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</si>
  <si>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</si>
  <si>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</si>
  <si>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</si>
  <si>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</si>
  <si>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</si>
  <si>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</si>
  <si>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</si>
  <si>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The application defines input validation rules based on expected data structures and formats. All incoming data is mapped to structured DTOs at the controller layer and validated for type, format, and constraints (e.g., email format, password length, movie price limits, and quantity ranges). Validation rules are enforced before any business logic processing.</t>
  </si>
  <si>
    <t>V2.1.2</t>
  </si>
  <si>
    <t>Verify that the application's documentation defines how to validate the logical and contextual consistency of combined data items, such as checking that suburb and ZIP code match.</t>
  </si>
  <si>
    <t>The application enforces logical and contextual consistency between related data elements through business rules in the service layer. For example, refund requests are validated against existing orders, ensuring that only valid and completed orders within the allowed time window can be refunded. Relationships between entities (e.g., Order, User, RefundRequest) are validated to maintain consistency.</t>
  </si>
  <si>
    <t>Section 3.1 (Business Logic Rules), domainAnalysisAndRequirements.md</t>
  </si>
  <si>
    <t>V2.1.3</t>
  </si>
  <si>
    <t>Verify that expectations for business logic limits and validations are documented, including both per-user and globally across the application.</t>
  </si>
  <si>
    <t>Business logic limits and validation rules are explicitly defined, including per-user and global constraints. Examples include limits on the number of items per order, refund eligibility time windows, and price constraints for movies. These rules are enforced at the service and domain levels to prevent abuse and ensure consistent behavior across the application.</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</si>
  <si>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</si>
  <si>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</si>
  <si>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</si>
  <si>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</si>
  <si>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V2.2.2</t>
  </si>
  <si>
    <t>Verify that the application is designed to enforce input validation at a trusted service layer. While client-side validation improves usability and should be encouraged, it must not be relied upon as a security control.</t>
  </si>
  <si>
    <t>V2.2.3</t>
  </si>
  <si>
    <t>Verify that the application ensures that combinations of related data items are reasonable according to the pre-defined rules.</t>
  </si>
  <si>
    <t>V2.3</t>
  </si>
  <si>
    <t>Business Logic Security</t>
  </si>
  <si>
    <t>V2.3.1</t>
  </si>
  <si>
    <t>Verify that the application will only process business logic flows for the same user in the expected sequential step order and without skipping steps.</t>
  </si>
  <si>
    <t>V2.3.2</t>
  </si>
  <si>
    <t>Verify that business logic limits are implemented per the application's documentation to avoid business logic flaws being exploited.</t>
  </si>
  <si>
    <t>V2.3.3</t>
  </si>
  <si>
    <t>Verify that transactions are being used at the business logic level such that either a business logic operation succeeds in its entirety or it is rolled back to the previous correct state.</t>
  </si>
  <si>
    <t>Section 6 (Secure Development Requirements), domainAnalysisAndRequirements.md</t>
  </si>
  <si>
    <t>V2.3.4</t>
  </si>
  <si>
    <t>Verify that business logic level locking mechanisms are used to ensure that limited quantity resources (such as theater seats or delivery slots) cannot be double-booked by manipulating the application's logic.</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</si>
  <si>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</si>
  <si>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</si>
  <si>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The application does not include high-value operations requiring multi-user approval (e.g., financial transfers or critical administrative overrides). All actions are performed by a single authorized user based on their role.</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</si>
  <si>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</si>
  <si>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</si>
  <si>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</si>
  <si>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</si>
  <si>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V2.4.2</t>
  </si>
  <si>
    <t>Verify that business logic flows require realistic human timing, preventing excessively rapid transaction submissions.</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</si>
  <si>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</si>
  <si>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</si>
  <si>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</si>
  <si>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</si>
  <si>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The application is a REST API and does not render HTML content or execute client-side code in a browser context. Therefore, controls related to browser rendering, DOM manipulation, and frontend execution are not applicable.</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</si>
  <si>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</si>
  <si>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</si>
  <si>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</si>
  <si>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</si>
  <si>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V3.2.2</t>
  </si>
  <si>
    <t>Verify that content intended to be displayed as text, rather than rendered as HTML, is handled using safe rendering functions (such as createTextNode or textContent) to prevent unintended execution of content such as HTML or JavaScript.</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</si>
  <si>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</si>
  <si>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</si>
  <si>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V3.3</t>
  </si>
  <si>
    <t>Cookie Setup</t>
  </si>
  <si>
    <t>V3.3.1</t>
  </si>
  <si>
    <t>Verify that cookies have the 'Secure' attribute set, and if the '\__Host-' prefix is not used for the cookie name, the '__Secure-' prefix must be used for the cookie name.</t>
  </si>
  <si>
    <t>https://auth0.com/docs/secure/security-guidance/data-security/token-storage</t>
  </si>
  <si>
    <t>V3.3.2</t>
  </si>
  <si>
    <t>Verify that each cookie's 'SameSite' attribute value is set according to the purpose of the cookie, to limit exposure to user interface redress attacks and browser-based request forgery attacks, commonly known as cross-site request forgery (CSRF).</t>
  </si>
  <si>
    <t>https://auth0.com/docs/manage-users/cookies/samesite-cookie-attribute-changes</t>
  </si>
  <si>
    <t>V3.3.3</t>
  </si>
  <si>
    <t>Verify that cookies have the '__Host-' prefix for the cookie name unless they are explicitly designed to be shared with other hosts.</t>
  </si>
  <si>
    <t>https://auth0.com/docs/manage-users/cookies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</si>
  <si>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</si>
  <si>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</si>
  <si>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</si>
  <si>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</si>
  <si>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https://auth0.com/docs/secure/tokens/json-web-tokens/json-web-token-structure</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</si>
  <si>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</si>
  <si>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</si>
  <si>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</si>
  <si>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</si>
  <si>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</si>
  <si>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</si>
  <si>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</si>
  <si>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</si>
  <si>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</si>
  <si>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</si>
  <si>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</si>
  <si>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</si>
  <si>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</si>
  <si>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</si>
  <si>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V3.4.7</t>
  </si>
  <si>
    <t>Verify that the Content-Security-Policy header field specifies a location to report violations.</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</si>
  <si>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</si>
  <si>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</si>
  <si>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</si>
  <si>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</si>
  <si>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</si>
  <si>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</si>
  <si>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The application uses cookie-based authentication, which introduces potential CSRF risks. To mitigate this, CSRF protection mechanisms will be enforced, including the use of SameSite cookie attributes and, where necessary, anti-CSRF tokens or additional request validation to ensure that state-changing operations originate from trusted contexts.</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</si>
  <si>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</si>
  <si>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</si>
  <si>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</si>
  <si>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</si>
  <si>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</si>
  <si>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</si>
  <si>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V3.5.5</t>
  </si>
  <si>
    <t>Verify that messages received by the postMessage interface are discarded if the origin of the message is not trusted, or if the syntax of the message is invalid.</t>
  </si>
  <si>
    <t>V3.5.6</t>
  </si>
  <si>
    <t>Verify that JSONP functionality is not enabled anywhere across the application to avoid Cross-Site Script Inclusion (XSSI) attacks.</t>
  </si>
  <si>
    <t>V3.5.7</t>
  </si>
  <si>
    <t>Verify that data requiring authorization is not included in script resource responses, like JavaScript files, to prevent Cross-Site Script Inclusion (XSSI) attacks.</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</si>
  <si>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</si>
  <si>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</si>
  <si>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</si>
  <si>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</si>
  <si>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</si>
  <si>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</si>
  <si>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</si>
  <si>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</si>
  <si>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</si>
  <si>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</si>
  <si>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V3.7.2</t>
  </si>
  <si>
    <t>Verify that the application will only automatically redirect the user to a different hostname or domain (which is not controlled by the application) where the destination appears on an allowlist.</t>
  </si>
  <si>
    <t>V3.7.3</t>
  </si>
  <si>
    <t>Verify that the application shows a notification when the user is being redirected to a URL outside of the application's control, with an option to cancel the navigation.</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</si>
  <si>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</si>
  <si>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</si>
  <si>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V3.7.5</t>
  </si>
  <si>
    <t>Verify that the application behaves as documented (such as warning the user or blocking access) if the browser used to access the application does not support the expected security features.</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</si>
  <si>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</si>
  <si>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</si>
  <si>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</si>
  <si>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</si>
  <si>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</si>
  <si>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</si>
  <si>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</si>
  <si>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</si>
  <si>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V4.1.4</t>
  </si>
  <si>
    <t>Verify that only HTTP methods that are explicitly supported by the application or its API (including OPTIONS during preflight requests) can be used and that unused methods are blocked.</t>
  </si>
  <si>
    <t>V4.1.5</t>
  </si>
  <si>
    <t>Verify that per-message digital signatures are used to provide additional assurance on top of transport protections for requests or transactions which are highly sensitive or which traverse a number of systems.</t>
  </si>
  <si>
    <t>The application relies on HTTPS (TLS) for transport-level security and JWT-based authentication via Auth0. Additional per-message digital signatures are not required as the system does not involve multi-hop or high-assurance message integrity scenarios.</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</si>
  <si>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</si>
  <si>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</si>
  <si>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</si>
  <si>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</si>
  <si>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V4.2.2</t>
  </si>
  <si>
    <t>Verify that when generating HTTP messages, the Content-Length header field does not conflict with the length of the content as determined by the framing of the HTTP protocol, in order to prevent request smuggling attacks.</t>
  </si>
  <si>
    <t>V4.2.3</t>
  </si>
  <si>
    <t>Verify that the application does not send nor accept HTTP/2 or HTTP/3 messages with connection-specific header fields such as Transfer-Encoding to prevent response splitting and header injection attacks.</t>
  </si>
  <si>
    <t>V4.2.4</t>
  </si>
  <si>
    <t>Verify that the application only accepts HTTP/2 and HTTP/3 requests where the header fields and values do not contain any CR (\r), LF (\n), or CRLF (\r\n) sequences, to prevent header injection attacks.</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</si>
  <si>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</si>
  <si>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</si>
  <si>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V4.3</t>
  </si>
  <si>
    <t>GraphQL</t>
  </si>
  <si>
    <t>V4.3.1</t>
  </si>
  <si>
    <t>Verify that a query allowlist, depth limiting, amount limiting, or query cost analysis is used to prevent GraphQL or data layer expression Denial of Service (DoS) as a result of expensive, nested queries.</t>
  </si>
  <si>
    <t>The application does not use GraphQL. All interactions are performed through RESTful endpoints.</t>
  </si>
  <si>
    <t>V4.3.2</t>
  </si>
  <si>
    <t>Verify that GraphQL introspection queries are disabled in the production environment unless the GraphQL API is meant to be used by other parties.</t>
  </si>
  <si>
    <t>The application does not expose a GraphQL API.</t>
  </si>
  <si>
    <t>V4.4</t>
  </si>
  <si>
    <t>WebSocket</t>
  </si>
  <si>
    <t>V4.4.1</t>
  </si>
  <si>
    <t>Verify that WebSocket over TLS (WSS) is used for all WebSocket connections.</t>
  </si>
  <si>
    <t>The application does not use WebSocket communication. All interactions are performed over HTTPS.</t>
  </si>
  <si>
    <t>V4.4.2</t>
  </si>
  <si>
    <t>Verify that, during the initial HTTP WebSocket handshake, the Origin header field is checked against a list of origins allowed for the application.</t>
  </si>
  <si>
    <t>WebSocket handshake validation is not applicable as the application does not use WebSockets.</t>
  </si>
  <si>
    <t>V4.4.3</t>
  </si>
  <si>
    <t>Verify that, if the application's standard session management cannot be used, dedicated tokens are being used for this, which comply with the relevant Session Management security requirements.</t>
  </si>
  <si>
    <t>The application does not implement WebSocket-based session management.</t>
  </si>
  <si>
    <t>V4.4.4</t>
  </si>
  <si>
    <t>Verify that dedicated WebSocket session management tokens are initially obtained or validated through the previously authenticated HTTPS session when transitioning an existing HTTPS session to a WebSocket channel.</t>
  </si>
  <si>
    <t>The application does not use WebSocket connections or session transitions.</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</si>
  <si>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</si>
  <si>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</si>
  <si>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</si>
  <si>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</si>
  <si>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Out of Scope.</t>
  </si>
  <si>
    <t>V5.2</t>
  </si>
  <si>
    <t>File Upload and Content</t>
  </si>
  <si>
    <t>V5.2.1</t>
  </si>
  <si>
    <t>Verify that the application will only accept files of a size which it can process without causing a loss of performance or a denial of service attack.</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</si>
  <si>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</si>
  <si>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</si>
  <si>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V5.2.3</t>
  </si>
  <si>
    <t>Verify that the application checks compressed files (e.g., zip, gz, docx, odt) against maximum allowed uncompressed size and against maximum number of files before uncompressing the file.</t>
  </si>
  <si>
    <t>V5.2.4</t>
  </si>
  <si>
    <t>Verify that a file size quota and maximum number of files per user are enforced to ensure that a single user cannot fill up the storage with too many files, or excessively large files.</t>
  </si>
  <si>
    <t>V5.2.5</t>
  </si>
  <si>
    <t>Verify that the application does not allow uploading compressed files containing symlinks unless this is specifically required (in which case it will be necessary to enforce an allowlist of the files that can be symlinked to).</t>
  </si>
  <si>
    <t>V5.2.6</t>
  </si>
  <si>
    <t>Verify that the application rejects uploaded images with a pixel size larger than the maximum allowed, to prevent pixel flood attacks.</t>
  </si>
  <si>
    <t>V5.3</t>
  </si>
  <si>
    <t>File Storage</t>
  </si>
  <si>
    <t>V5.3.1</t>
  </si>
  <si>
    <t>Verify that files uploaded or generated by untrusted input and stored in a public folder, are not executed as server-side program code when accessed directly with an HTTP request.</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</si>
  <si>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</si>
  <si>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</si>
  <si>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V5.3.3</t>
  </si>
  <si>
    <t>Verify that server-side file processing, such as file decompression, ignores user-provided path information to prevent vulnerabilities such as zip slip.</t>
  </si>
  <si>
    <t>V5.4</t>
  </si>
  <si>
    <t>File Download</t>
  </si>
  <si>
    <t>V5.4.1</t>
  </si>
  <si>
    <t>Verify that the application validates or ignores user-submitted filenames, including in a JSON, JSONP, or URL parameter and specifies a filename in the Content-Disposition header field in the response.</t>
  </si>
  <si>
    <t>V5.4.2</t>
  </si>
  <si>
    <t>Verify that file names served (e.g., in HTTP response header fields or email attachments) are encoded or sanitized (e.g., following RFC 6266) to preserve document structure and prevent injection attacks.</t>
  </si>
  <si>
    <t>V5.4.3</t>
  </si>
  <si>
    <t>Verify that files obtained from untrusted sources are scanned by antivirus scanners to prevent serving of known malicious content.</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</si>
  <si>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</si>
  <si>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</si>
  <si>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</si>
  <si>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</si>
  <si>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Authentication-related protections such as brute-force protection, anomaly detection, and rate limiting are handled by the external identity provider (Auth0). These mechanisms include login attempt throttling, suspicious activity detection, and adaptive responses (e.g., CAPTCHA or blocking). The application relies on these controls and does not implement authentication logic directly.</t>
  </si>
  <si>
    <t>https://auth0.com/docs/secure/attack-protection</t>
  </si>
  <si>
    <t>V6.1.2</t>
  </si>
  <si>
    <t>Verify that a list of context-specific words is documented in order to prevent their use in passwords. The list could include permutations of organization names, product names, system identifiers, project codenames, department or role names, and similar.</t>
  </si>
  <si>
    <t>Password creation and validation are fully managed by an external identity provider (Auth0). The application does not directly enforce or control password composition rules, including restrictions on context-specific words. Such controls, if required, must be configured within the identity provider.</t>
  </si>
  <si>
    <t>V6.1.3</t>
  </si>
  <si>
    <t>Verify that, if the application includes multiple authentication pathways, these are all documented together with the security controls and authentication strength which must be consistently enforced across them.</t>
  </si>
  <si>
    <t>V6.2</t>
  </si>
  <si>
    <t>Password Security</t>
  </si>
  <si>
    <t>V6.2.1</t>
  </si>
  <si>
    <t>Verify that user set passwords are at least 8 characters in length although a minimum of 15 characters is strongly recommended.</t>
  </si>
  <si>
    <t>https://auth0.com/docs/authenticate/database-connections/password-options</t>
  </si>
  <si>
    <t>V6.2.2</t>
  </si>
  <si>
    <t>Verify that users can change their password.</t>
  </si>
  <si>
    <t>V6.2.3</t>
  </si>
  <si>
    <t>Verify that password change functionality requires the user's current and new password.</t>
  </si>
  <si>
    <t>V6.2.4</t>
  </si>
  <si>
    <t>Verify that passwords submitted during account registration or password change are checked against an available set of, at least, the top 3000 passwords which match the application's password policy, e.g. minimum length.</t>
  </si>
  <si>
    <t>V6.2.5</t>
  </si>
  <si>
    <t>Verify that passwords of any composition can be used, without rules limiting the type of characters permitted. There must be no requirement for a minimum number of upper or lower case characters, numbers, or special characters.</t>
  </si>
  <si>
    <t>V6.2.6</t>
  </si>
  <si>
    <t>Verify that password input fields use type=password to mask the entry. Applications may allow the user to temporarily view the entire masked password, or the last typed character of the password.</t>
  </si>
  <si>
    <t>V6.2.7</t>
  </si>
  <si>
    <t>Verify that "paste" functionality, browser password helpers, and external password managers are permitted.</t>
  </si>
  <si>
    <t>V6.2.8</t>
  </si>
  <si>
    <t>Verify that the application verifies the user's password exactly as received from the user, without any modifications such as truncation or case transformation.</t>
  </si>
  <si>
    <t>V6.2.9</t>
  </si>
  <si>
    <t>Verify that passwords of at least 64 characters are permitted.</t>
  </si>
  <si>
    <t>V6.2.10</t>
  </si>
  <si>
    <t>Verify that a user's password stays valid until it is discovered to be compromised or the user rotates it. The application must not require periodic credential rotation.</t>
  </si>
  <si>
    <t>V6.2.11</t>
  </si>
  <si>
    <t>Verify that the documented list of context specific words is used to prevent easy to guess passwords being created.</t>
  </si>
  <si>
    <t>V6.2.12</t>
  </si>
  <si>
    <t>Verify that passwords submitted during account registration or password changes are checked against a set of breached passwords.</t>
  </si>
  <si>
    <t>V6.3</t>
  </si>
  <si>
    <t>General Authentication Security</t>
  </si>
  <si>
    <t>V6.3.1</t>
  </si>
  <si>
    <t>Verify that controls to prevent attacks such as credential stuffing and password brute force are implemented according to the application's security documentation.</t>
  </si>
  <si>
    <t>Brute-force protection, anomaly detection, and rate limiting are implemented by Auth0’s Attack Protection mechanisms.</t>
  </si>
  <si>
    <t>V6.3.2</t>
  </si>
  <si>
    <t>Verify that default user accounts (e.g., "root", "admin", or "sa") are not present in the application or are disabled.</t>
  </si>
  <si>
    <t>The application does not define or expose default accounts. All identities are managed externally by Auth0.</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</si>
  <si>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</si>
  <si>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</si>
  <si>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Multi-factor authentication is supported by Auth0 but is not currently enforced or required by the application.</t>
  </si>
  <si>
    <t>V6.3.4</t>
  </si>
  <si>
    <t>Verify that, if the application includes multiple authentication pathways, there are no undocumented pathways and that security controls and authentication strength are enforced consistently.</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</si>
  <si>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</si>
  <si>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</si>
  <si>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User notifications are handled by Auth0 when configured. The application does not implement its own notification mechanisms.</t>
  </si>
  <si>
    <t>V6.3.6</t>
  </si>
  <si>
    <t>Verify that email is not used as either a single-factor or multi-factor authentication mechanism.</t>
  </si>
  <si>
    <t>Authentication is based on Auth0 secure flows and does not rely solely on email as an authentication factor.</t>
  </si>
  <si>
    <t>V6.3.7</t>
  </si>
  <si>
    <t>Verify that users are notified after updates to authentication details, such as credential resets or modification of the username or email address.</t>
  </si>
  <si>
    <t>Handled externally by Auth0 if enabled.</t>
  </si>
  <si>
    <t>V6.3.8</t>
  </si>
  <si>
    <t>Verify that valid users cannot be deduced from failed authentication challenges, such as by basing on error messages, HTTP response codes, or different response times. Registration and forgot password functionality must also have this protection.</t>
  </si>
  <si>
    <t>Authentication flows are handled by Auth0, which prevents user enumeration via generic error messages and consistent responses.</t>
  </si>
  <si>
    <t>http://auth0.com/docs/authenticate</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</si>
  <si>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</si>
  <si>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</si>
  <si>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</si>
  <si>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</si>
  <si>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Authentication lifecycle management (password reset, recovery, MFA reset, etc.) is fully handled by Auth0. The application does not implement these mechanisms.</t>
  </si>
  <si>
    <t>V6.4.2</t>
  </si>
  <si>
    <t>Verify that password hints or knowledge-based authentication (so-called "secret questions") are not present.</t>
  </si>
  <si>
    <t>V6.4.3</t>
  </si>
  <si>
    <t>Verify that a secure process for resetting a forgotten password is implemented, that does not bypass any enabled multi-factor authentication mechanisms.</t>
  </si>
  <si>
    <t>V6.4.4</t>
  </si>
  <si>
    <t>Verify that if a multi-factor authentication factor is lost, evidence of identity proofing is performed at the same level as during enrollment.</t>
  </si>
  <si>
    <t>V6.4.5</t>
  </si>
  <si>
    <t>Verify that renewal instructions for authentication mechanisms which expire are sent with enough time to be carried out before the old authentication mechanism expires, configuring automated reminders if necessary.</t>
  </si>
  <si>
    <t>V6.4.6</t>
  </si>
  <si>
    <t>Verify that administrative users can initiate the password reset process for the user, but that this does not allow them to change or choose the user's password. This prevents a situation where they know the user's password.</t>
  </si>
  <si>
    <t>V6.5</t>
  </si>
  <si>
    <t>General Multi-factor authentication requirements</t>
  </si>
  <si>
    <t>V6.5.1</t>
  </si>
  <si>
    <t>Verify that lookup secrets, out-of-band authentication requests or codes, and time-based one-time passwords (TOTPs) are only successfully usable once.</t>
  </si>
  <si>
    <t>Multi-factor authentication mechanisms are provided and managed by Auth0. The application does not directly implement or store MFA factors.</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</si>
  <si>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</si>
  <si>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</si>
  <si>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</si>
  <si>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</si>
  <si>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</si>
  <si>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</si>
  <si>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</si>
  <si>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</si>
  <si>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V6.5.6</t>
  </si>
  <si>
    <t>Verify that any authentication factor (including physical devices) can be revoked in case of theft or other loss.</t>
  </si>
  <si>
    <t>V6.5.7</t>
  </si>
  <si>
    <t>Verify that biometric authentication mechanisms are only used as secondary factors together with either something you have or something you know.</t>
  </si>
  <si>
    <t>V6.5.8</t>
  </si>
  <si>
    <t>Verify that time-based one-time passwords (TOTPs) are checked based on a time source from a trusted service and not from an untrusted or client provided time.</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</si>
  <si>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</si>
  <si>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</si>
  <si>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</si>
  <si>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</si>
  <si>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Out-of-band authentication mechanisms (SMS, push, OTP) are handled by Auth0 when configured. The application does not implement these features.</t>
  </si>
  <si>
    <t>V6.6.2</t>
  </si>
  <si>
    <t>Verify that out-of-band authentication requests, codes, or tokens are bound to the original authentication request for which they were generated and are not usable for a previous or subsequent one.</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</si>
  <si>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</si>
  <si>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</si>
  <si>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</si>
  <si>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</si>
  <si>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V6.7</t>
  </si>
  <si>
    <t>Cryptographic authentication mechanism</t>
  </si>
  <si>
    <t>V6.7.1</t>
  </si>
  <si>
    <t>Verify that the certificates used to verify cryptographic authentication assertions are stored in a way protects them from modification.</t>
  </si>
  <si>
    <t>JWT signature verification relies on public keys retrieved from Auth0’s JWKS endpoint. Key management and protection are handled by Auth0.</t>
  </si>
  <si>
    <t>https://auth0.com/docs/secure/tokens/json-web-tokens/json-web-key-sets</t>
  </si>
  <si>
    <t>V6.7.2</t>
  </si>
  <si>
    <t>Verify that the challenge nonce is at least 64 bits in length, and statistically unique or unique over the lifetime of the cryptographic device.</t>
  </si>
  <si>
    <t>Nonce handling is managed within Auth0 authentication flows (OIDC). The application does not generate or validate nonces directly.</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</si>
  <si>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</si>
  <si>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</si>
  <si>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</si>
  <si>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</si>
  <si>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The application uses a single identity provider (Auth0), so identity spoofing across providers is not applicable.</t>
  </si>
  <si>
    <t>V6.8.2</t>
  </si>
  <si>
    <t>Verify that the presence and integrity of digital signatures on authentication assertions (for example on JWTs or SAML assertions) are always validated, rejecting any assertions that are unsigned or have invalid signatures.</t>
  </si>
  <si>
    <t>The backend validates JWT access tokens issued by Auth0, including signature verification, issuer, audience, and expiration checks.</t>
  </si>
  <si>
    <t>https://auth0.com/docs/secure/tokens/json-web-tokens/validate-json-web-tokens</t>
  </si>
  <si>
    <t>V6.8.3</t>
  </si>
  <si>
    <t>Verify that SAML assertions are uniquely processed and used only once within the validity period to prevent replay attacks.</t>
  </si>
  <si>
    <t>The application does not use SAML-based authentication; it relies on OIDC/OAuth2 with JWTs.</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</si>
  <si>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</si>
  <si>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</si>
  <si>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Out of scope.</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</si>
  <si>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</si>
  <si>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</si>
  <si>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</si>
  <si>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</si>
  <si>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domainAnalysisAndRequirements.md</t>
  </si>
  <si>
    <t>V7.1.2</t>
  </si>
  <si>
    <t>Verify that the documentation defines how many concurrent (parallel) sessions are allowed for one account as well as the intended behaviors and actions to be taken when the maximum number of active sessions is reached.</t>
  </si>
  <si>
    <t>domainAnalysisAndRequirements.md and referenced in UC1(Login)</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</si>
  <si>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</si>
  <si>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</si>
  <si>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V7.2</t>
  </si>
  <si>
    <t>Fundamental Session Management Security</t>
  </si>
  <si>
    <t>V7.2.1</t>
  </si>
  <si>
    <t>Verify that the application performs all session token verification using a trusted, backend service.</t>
  </si>
  <si>
    <t>V7.2.2</t>
  </si>
  <si>
    <t>Verify that the application uses either self-contained or reference tokens that are dynamically generated for session management, i.e. not using static API secrets and keys.</t>
  </si>
  <si>
    <t>V7.2.3</t>
  </si>
  <si>
    <t>Verify that if reference tokens are used to represent user sessions, they are unique and generated using a cryptographically secure pseudo-random number generator (CSPRNG) and possess at least 128 bits of entropy.</t>
  </si>
  <si>
    <t>This requirement is not the most appropriate for the current architecture, because it applies to reference tokens. In our project, we assume that the external authentication provider issues JWTs, whose security depends on signature validation and approved signing algorithms rather than entropy of an opaque session identifier.</t>
  </si>
  <si>
    <t>V7.2.4</t>
  </si>
  <si>
    <t>Verify that the application generates a new session token on user authentication, including re-authentication, and terminates the current session token.</t>
  </si>
  <si>
    <t>V7.3</t>
  </si>
  <si>
    <t>Session Timeout</t>
  </si>
  <si>
    <t>V7.3.1</t>
  </si>
  <si>
    <t>Verify that there is an inactivity timeout such that re-authentication is enforced according to risk analysis and documented security decisions.</t>
  </si>
  <si>
    <t>V7.3.2</t>
  </si>
  <si>
    <t>Verify that there is an absolute maximum session lifetime such that re-authentication is enforced according to risk analysis and documented security decisions.</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</si>
  <si>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</si>
  <si>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</si>
  <si>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</si>
  <si>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</si>
  <si>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V7.4.2</t>
  </si>
  <si>
    <t>Verify that the application terminates all active sessions when a user account is disabled or deleted (such as an employee leaving the company).</t>
  </si>
  <si>
    <t>User account management (create, delete, disable) is not implemented (mocked data only).</t>
  </si>
  <si>
    <t>V7.4.3</t>
  </si>
  <si>
    <t>Verify that the application gives the option to terminate all other active sessions after a successful change or removal of any authentication factor (including password change via reset or recovery and, if present, an MFA settings update).</t>
  </si>
  <si>
    <t>We do not currently provide a feature or endpoint to terminate other active sessions after authentication factor changes.</t>
  </si>
  <si>
    <t>V7.4.4</t>
  </si>
  <si>
    <t>Verify that all pages that require authentication have easy and visible access to logout functionality.</t>
  </si>
  <si>
    <t xml:space="preserve">No Frontend has been developed. </t>
  </si>
  <si>
    <t>V7.4.5</t>
  </si>
  <si>
    <t>Verify that application administrators are able to terminate active sessions for an individual user or for all users.</t>
  </si>
  <si>
    <t>We do not provide an admin endpoint/workflow to terminate user or all active sessions.</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</si>
  <si>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</si>
  <si>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</si>
  <si>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</si>
  <si>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</si>
  <si>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We do not provide an user endpoint/workflow to change his own information.</t>
  </si>
  <si>
    <t>V7.5.2</t>
  </si>
  <si>
    <t>Verify that users are able to view and (having authenticated again with at least one factor) terminate any or all currently active sessions.</t>
  </si>
  <si>
    <t>V7.5.3</t>
  </si>
  <si>
    <t>Verify that the application requires further authentication with at least one factor or secondary verification before performing highly sensitive transactions or operations.</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</si>
  <si>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</si>
  <si>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</si>
  <si>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</si>
  <si>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</si>
  <si>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V7.6.2</t>
  </si>
  <si>
    <t>Verify that creation of a session requires either the user's consent or an explicit action, preventing the creation of new application sessions without user interaction.</t>
  </si>
  <si>
    <t>V8.1</t>
  </si>
  <si>
    <t>Authorization Documentation</t>
  </si>
  <si>
    <t>V8.1.1</t>
  </si>
  <si>
    <t>Verify that authorization documentation defines rules for restricting function-level and data-specific access based on consumer permissions and resource attributes.</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</si>
  <si>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</si>
  <si>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</si>
  <si>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</si>
  <si>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</si>
  <si>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</si>
  <si>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</si>
  <si>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Not applicable: authorization is static (RBAC + resource ownership), and the system does not use contextual risk signals or an adaptive policy engine to make dynamic allow/challenge/deny/step-up decisions.</t>
  </si>
  <si>
    <t>V8.2</t>
  </si>
  <si>
    <t>General Authorization Design</t>
  </si>
  <si>
    <t>V8.2.1</t>
  </si>
  <si>
    <t>Verify that the application ensures that function-level access is restricted to consumers with explicit permissions.</t>
  </si>
  <si>
    <t>V8.2.2</t>
  </si>
  <si>
    <t>Verify that the application ensures that data-specific access is restricted to consumers with explicit permissions to specific data items to mitigate insecure direct object reference (IDOR) and broken object level authorization (BOLA).</t>
  </si>
  <si>
    <t>domainAnalysisAndRequirements.md and threatModel.md</t>
  </si>
  <si>
    <t>V8.2.3</t>
  </si>
  <si>
    <t>Verify that the application ensures that field-level access is restricted to consumers with explicit permissions to specific fields to mitigate broken object property level authorization (BOPLA).</t>
  </si>
  <si>
    <t>architectureAndDesign.md</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</si>
  <si>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</si>
  <si>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</si>
  <si>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V8.3</t>
  </si>
  <si>
    <t>Operation Level Authorization</t>
  </si>
  <si>
    <t>V8.3.1</t>
  </si>
  <si>
    <t>Verify that the application enforces authorization rules at a trusted service layer and doesn't rely on controls that an untrusted consumer could manipulate, such as client-side JavaScript.</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</si>
  <si>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</si>
  <si>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</si>
  <si>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</si>
  <si>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</si>
  <si>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This is mainly relevant for microservices or delegated service-to-service calls. Our current architecture is a single backend with a direct database, so this control is not central right now.</t>
  </si>
  <si>
    <t>V8.4</t>
  </si>
  <si>
    <t>Other Authorization Considerations</t>
  </si>
  <si>
    <t>V8.4.1</t>
  </si>
  <si>
    <t>Verify that multi-tenant applications use cross-tenant controls to ensure consumer operations will never affect tenants with which they do not have permissions to interact.</t>
  </si>
  <si>
    <t>The application is not multi-tenant. There are different roles, but not separate tenants or organizations.</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</si>
  <si>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</si>
  <si>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</si>
  <si>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Out of scope. A simpler admin model with strong server-side RBAC is enough for now.</t>
  </si>
  <si>
    <t>V9.1</t>
  </si>
  <si>
    <t>Token source and integrity</t>
  </si>
  <si>
    <t>V9.1.1</t>
  </si>
  <si>
    <t>Verify that self-contained tokens are validated using their digital signature or MAC to protect against tampering before accepting the token's contents.</t>
  </si>
  <si>
    <t>architectureAndDesign.md and domainAnalysisAndRequirements.md</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</si>
  <si>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</si>
  <si>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</si>
  <si>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architectureAndDesing.md and domainAnalysisAndRequirements.md</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</si>
  <si>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</si>
  <si>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</si>
  <si>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architectureAndDesing.md and threatModel.md</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</si>
  <si>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</si>
  <si>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</si>
  <si>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</si>
  <si>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</si>
  <si>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</si>
  <si>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</si>
  <si>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V9.2.3</t>
  </si>
  <si>
    <t>Verify that the service only accepts tokens which are intended for use with that service (audience). For JWTs, this can be achieved by validating the 'aud' claim against an allowlist defined in the service.</t>
  </si>
  <si>
    <t>architectureAndDesign.md and threatModel.md</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</si>
  <si>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</si>
  <si>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</si>
  <si>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</si>
  <si>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</si>
  <si>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</si>
  <si>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</si>
  <si>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</si>
  <si>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</si>
  <si>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</si>
  <si>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</si>
  <si>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</si>
  <si>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</si>
  <si>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The application is a backend-only REST API and does not implement a browser-based OAuth client. There is no frontend to perform browser-based authorization code flows. Auth0 handles the authorization flow externally.</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</si>
  <si>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</si>
  <si>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</si>
  <si>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The application uses a single authorization server (Auth0). Mix-up attacks apply when multiple authorization servers are used, which is not the case in this architecture.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</si>
  <si>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</si>
  <si>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</si>
  <si>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</si>
  <si>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</si>
  <si>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</si>
  <si>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</si>
  <si>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V10.3.2</t>
  </si>
  <si>
    <t>Verify that the resource server enforces authorization decisions based on claims from the access token that define delegated authorization. If claims such as 'sub', 'scope', and 'authorization_details' are present, they must be part of the decision.</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</si>
  <si>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</si>
  <si>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</si>
  <si>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</si>
  <si>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</si>
  <si>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The backend does not currently require specific authentication strength or method verification beyond valid JWT signature and standard claims (exp, aud, iss). Step-up authentication via auth_time/acr/amr is documented as a future enhancement.</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</si>
  <si>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</si>
  <si>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</si>
  <si>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L3 control. Sender-constrained (DPoP/mTLS-bound) access tokens are not implemented in the current architecture. Token security relies on HTTPS transport, short token lifetimes, and signature validation.</t>
  </si>
  <si>
    <t>V10.4</t>
  </si>
  <si>
    <t>OAuth Authorization Server</t>
  </si>
  <si>
    <t>V10.4.1</t>
  </si>
  <si>
    <t>Verify that the authorization server validates redirect URIs based on a client-specific allowlist of pre-registered URIs using exact string comparison.</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</si>
  <si>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</si>
  <si>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</si>
  <si>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https://auth0.com/docs/get-started/authentication-and-authorization-flow/authorization-code-flow</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</si>
  <si>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</si>
  <si>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</si>
  <si>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</si>
  <si>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</si>
  <si>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</si>
  <si>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</si>
  <si>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</si>
  <si>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</si>
  <si>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</si>
  <si>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</si>
  <si>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Dynamic client registration is not enabled in Auth0 for this application. All OAuth clients are pre-registered via the Auth0 dashboard.</t>
  </si>
  <si>
    <t>V10.4.8</t>
  </si>
  <si>
    <t>Verify that refresh tokens have an absolute expiration, including if sliding refresh token expiration is applied.</t>
  </si>
  <si>
    <t>V10.4.9</t>
  </si>
  <si>
    <t>Verify that refresh tokens and reference access tokens can be revoked by an authorized user using the authorization server user interface, to mitigate the risk of malicious clients or stolen tokens.</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</si>
  <si>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</si>
  <si>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</si>
  <si>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</si>
  <si>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</si>
  <si>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</si>
  <si>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</si>
  <si>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L3 control. Response mode restrictions are not configured as the application uses the standard code flow only.</t>
  </si>
  <si>
    <t>V10.4.13</t>
  </si>
  <si>
    <t>Verify that grant type 'code' is always used together with pushed authorization requests (PAR).</t>
  </si>
  <si>
    <t>L3 control. Pushed Authorization Requests (PAR) are not required in the current architecture.</t>
  </si>
  <si>
    <t>V10.4.14</t>
  </si>
  <si>
    <t>Verify that the authorization server issues only sender-constrained (Proof-of-Possession) access tokens, either with certificate-bound access tokens using mutual TLS (mTLS) or DPoP-bound access tokens (Demonstration of Proof of Possession).</t>
  </si>
  <si>
    <t>L3 control. Sender-constrained (DPoP/certificate-bound) access tokens are not implemented in the current Phase 1 scope.</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</si>
  <si>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</si>
  <si>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</si>
  <si>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L3 control. Server-side Rich Authorization Requests (RAR) are outside the current project scope.</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</si>
  <si>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</si>
  <si>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</si>
  <si>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L3 control. Public-key-based client authentication (private_key_jwt) is not enforced in the current scope; client_secret is used.</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</si>
  <si>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</si>
  <si>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</si>
  <si>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</si>
  <si>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</si>
  <si>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The backend acts as a resource server (API), not an OIDC relying party. It does not process ID Tokens. OIDC client behavior, including nonce validation, is managed by the token requester (e.g., Postman or future frontend).</t>
  </si>
  <si>
    <t>V10.5.2</t>
  </si>
  <si>
    <t>Verify that the client uniquely identifies the user from ID Token claims, usually the 'sub' claim, which cannot be reassigned to other users (for the scope of an identity provider).</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</si>
  <si>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</si>
  <si>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</si>
  <si>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The application uses a single authorization server (Auth0). Authorization server metadata mix-up attacks are not applicable with a single trusted issuer.</t>
  </si>
  <si>
    <t>V10.5.4</t>
  </si>
  <si>
    <t>Verify that the client validates that the ID Token is intended to be used for that client (audience) by checking that the 'aud' claim from the token is equal to the 'client_id' value for the client.</t>
  </si>
  <si>
    <t>The backend does not process ID Tokens. It validates only access tokens with audience (aud) checking. ID Token audience validation is the responsibility of the OIDC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</si>
  <si>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</si>
  <si>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</si>
  <si>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Back-channel logout is not implemented in the current backend-only Phase 1 architecture. Logout is handled via logout_timestamp validation against token iat.</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</si>
  <si>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</si>
  <si>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</si>
  <si>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</si>
  <si>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</si>
  <si>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</si>
  <si>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</si>
  <si>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</si>
  <si>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</si>
  <si>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</si>
  <si>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</si>
  <si>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</si>
  <si>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</si>
  <si>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V10.7.3</t>
  </si>
  <si>
    <t>Verify that the user can review, modify, and revoke consents which the user has granted through the authorization server.</t>
  </si>
  <si>
    <t>User consent review and revocation is managed via Auth0 account settings or admin dashboard, not implemented in the backend application.</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</si>
  <si>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</si>
  <si>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</si>
  <si>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</si>
  <si>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</si>
  <si>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</si>
  <si>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</si>
  <si>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V11.1.3</t>
  </si>
  <si>
    <t>Verify that cryptographic discovery mechanisms are employed to identify all instances of cryptography in the system, including encryption, hashing, and signing operations.</t>
  </si>
  <si>
    <t>V11.1.4</t>
  </si>
  <si>
    <t>Verify that a cryptographic inventory is maintained. This must include a documented plan that outlines the migration path to new cryptographic standards, such as post-quantum cryptography, in order to react to future threats.</t>
  </si>
  <si>
    <t>V11.2</t>
  </si>
  <si>
    <t>Secure Cryptography Implementation</t>
  </si>
  <si>
    <t>V11.2.1</t>
  </si>
  <si>
    <t>Verify that industry-validated implementations (including libraries and hardware-accelerated implementations) are used for cryptographic operations.</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</si>
  <si>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</si>
  <si>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</si>
  <si>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</si>
  <si>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</si>
  <si>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V11.2.4</t>
  </si>
  <si>
    <t>Verify that all cryptographic operations are constant-time, with no 'short-circuit' operations in comparisons, calculations, or returns, to avoid leaking information.</t>
  </si>
  <si>
    <t>No custom cryptographic primitives are implemented in backend code; constant-time behavior is delegated to vetted libraries/providers.</t>
  </si>
  <si>
    <t>V11.2.5</t>
  </si>
  <si>
    <t>Verify that all cryptographic modules fail securely, and errors are handled in a way that does not enable vulnerabilities, such as Padding Oracle attacks.</t>
  </si>
  <si>
    <t>threatModel.md and architectureAndDesign.md</t>
  </si>
  <si>
    <t>V11.3</t>
  </si>
  <si>
    <t>Encryption Algorithms</t>
  </si>
  <si>
    <t>V11.3.1</t>
  </si>
  <si>
    <t>Verify that insecure block modes (e.g., ECB) and weak padding schemes (e.g., PKCS#1 v1.5) are not used.</t>
  </si>
  <si>
    <t>V11.3.2</t>
  </si>
  <si>
    <t>Verify that only approved ciphers and modes such as AES with GCM are used.</t>
  </si>
  <si>
    <t>Cipher/mode selection is provider/platform managed in current scope (Auth0/TLS stack), not custom backend crypto implementation.</t>
  </si>
  <si>
    <t>V11.3.3</t>
  </si>
  <si>
    <t>Verify that encrypted data is protected against unauthorized modification preferably by using an approved authenticated encryption method or by combining an approved encryption method with an approved MAC algorithm.</t>
  </si>
  <si>
    <t>Application does not implement bespoke data encryption flows; integrity/confidentiality for tokens relies on signed JWT + TLS.</t>
  </si>
  <si>
    <t>V11.3.4</t>
  </si>
  <si>
    <t>Verify that nonces, initialization vectors, and other single-use numbers are not used for more than one encryption key and data-element pair. The method of generation must be appropriate for the algorithm being used.</t>
  </si>
  <si>
    <t>V11.3.5</t>
  </si>
  <si>
    <t>Verify that any combination of an encryption algorithm and a MAC algorithm is operating in encrypt-then-MAC mode.</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</si>
  <si>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</si>
  <si>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</si>
  <si>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</si>
  <si>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</si>
  <si>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</si>
  <si>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</si>
  <si>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</si>
  <si>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</si>
  <si>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</si>
  <si>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</si>
  <si>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Backend does not derive cryptographic keys from user passwords in current architecture.</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</si>
  <si>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</si>
  <si>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</si>
  <si>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</si>
  <si>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</si>
  <si>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V11.5.2</t>
  </si>
  <si>
    <t>Verify that the random number generation mechanism in use is designed to work securely, even under heavy demand.</t>
  </si>
  <si>
    <t>No custom high-throughput RNG component is implemented in this phase.</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</si>
  <si>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</si>
  <si>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</si>
  <si>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</si>
  <si>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</si>
  <si>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</si>
  <si>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</si>
  <si>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V11.7</t>
  </si>
  <si>
    <t>In-Use Data Cryptography</t>
  </si>
  <si>
    <t>V11.7.1</t>
  </si>
  <si>
    <t>Verify that full memory encryption is in use that protects sensitive data while it is in use, preventing access by unauthorized users or processes.</t>
  </si>
  <si>
    <t>V11.7.2</t>
  </si>
  <si>
    <t>Verify that data minimization ensures the minimal amount of data is exposed during processing, and ensure that data is encrypted immediately after use or as soon as feasible.</t>
  </si>
  <si>
    <t>V12.1</t>
  </si>
  <si>
    <t>General TLS Security Guidance</t>
  </si>
  <si>
    <t>V12.1.1</t>
  </si>
  <si>
    <t>Verify that only the latest recommended versions of the TLS protocol are enabled, such as TLS 1.2 and TLS 1.3. The latest version of the TLS protocol must be the preferred option.</t>
  </si>
  <si>
    <t>V12.1.2</t>
  </si>
  <si>
    <t>Verify that only recommended cipher suites are enabled, with the strongest cipher suites set as preferred. L3 applications must only support cipher suites which provide forward secrecy.</t>
  </si>
  <si>
    <t>V12.1.3</t>
  </si>
  <si>
    <t>Verify that the application validates that mTLS client certificates are trusted before using the certificate identity for authentication or authorization.</t>
  </si>
  <si>
    <t>mTLS client certificates are not used in the current architecture. Authentication relies on Auth0-issued JWTs, not client certificates.</t>
  </si>
  <si>
    <t>V12.1.4</t>
  </si>
  <si>
    <t>Verify that proper certification revocation, such as Online Certificate Status Protocol (OCSP) Stapling, is enabled and configured.</t>
  </si>
  <si>
    <t>V12.1.5</t>
  </si>
  <si>
    <t>Verify that Encrypted Client Hello (ECH) is enabled in the application's TLS settings to prevent exposure of sensitive metadata, such as the Server Name Indication (SNI), during TLS handshake processes.</t>
  </si>
  <si>
    <t>V12.2</t>
  </si>
  <si>
    <t>HTTPS Communication with External Facing Services</t>
  </si>
  <si>
    <t>V12.2.1</t>
  </si>
  <si>
    <t>Verify that TLS is used for all connectivity between a client and external facing, HTTP-based services, and does not fall back to insecure or unencrypted communications.</t>
  </si>
  <si>
    <t>V12.2.2</t>
  </si>
  <si>
    <t>Verify that external facing services use publicly trusted TLS certificates.</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</si>
  <si>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</si>
  <si>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</si>
  <si>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</si>
  <si>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</si>
  <si>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V12.3.2</t>
  </si>
  <si>
    <t>Verify that TLS clients validate certificates received before communicating with a TLS server.</t>
  </si>
  <si>
    <t>V12.3.3</t>
  </si>
  <si>
    <t>Verify that TLS or another appropriate transport encryption mechanism used for all connectivity between internal, HTTP-based services within the application, and does not fall back to insecure or unencrypted communications.</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</si>
  <si>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</si>
  <si>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</si>
  <si>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</si>
  <si>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</si>
  <si>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No intra-service mesh or mTLS between microservices exists in current architecture. The system is a single backend with direct database access.</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</si>
  <si>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</si>
  <si>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</si>
  <si>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</si>
  <si>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</si>
  <si>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</si>
  <si>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</si>
  <si>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</si>
  <si>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</si>
  <si>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</si>
  <si>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</si>
  <si>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</si>
  <si>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</si>
  <si>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</si>
  <si>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</si>
  <si>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V13.2.2</t>
  </si>
  <si>
    <t>Verify that communications between backend application components, including local or operating system services, APIs, middleware, and data layers, are performed with accounts assigned the least necessary privileges.</t>
  </si>
  <si>
    <t>V13.2.3</t>
  </si>
  <si>
    <t>Verify that if a credential has to be used for service authentication, the credential being used by the consumer is not a default credential (e.g., root/root or admin/admin).</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</si>
  <si>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</si>
  <si>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</si>
  <si>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V13.2.5</t>
  </si>
  <si>
    <t>Verify that the web or application server is configured with an allowlist of resources or systems to which the server can send requests or load data or files from.</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</si>
  <si>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</si>
  <si>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</si>
  <si>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</si>
  <si>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</si>
  <si>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</si>
  <si>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</si>
  <si>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V13.3.2</t>
  </si>
  <si>
    <t>Verify that access to secret assets adheres to the principle of least privilege.</t>
  </si>
  <si>
    <t>V13.3.3</t>
  </si>
  <si>
    <t>Verify that all cryptographic operations are performed using an isolated security module (such as a vault or hardware security module) to securely manage and protect key material from exposure outside of the security module.</t>
  </si>
  <si>
    <t>V13.3.4</t>
  </si>
  <si>
    <t>Verify that secrets are configured to expire and be rotated based on the application's documentation.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</si>
  <si>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</si>
  <si>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</si>
  <si>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</si>
  <si>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</si>
  <si>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V13.4.2</t>
  </si>
  <si>
    <t>Verify that debug modes are disabled for all components in production environments to prevent exposure of debugging features and information leakage.</t>
  </si>
  <si>
    <t>V13.4.3</t>
  </si>
  <si>
    <t>Verify that web servers do not expose directory listings to clients unless explicitly intended.</t>
  </si>
  <si>
    <t>V13.4.4</t>
  </si>
  <si>
    <t>Verify that using the HTTP TRACE method is not supported in production environments, to avoid potential information leakage.</t>
  </si>
  <si>
    <t>V13.4.5</t>
  </si>
  <si>
    <t>Verify that documentation (such as for internal APIs) and monitoring endpoints are not exposed unless explicitly intended.</t>
  </si>
  <si>
    <t>V13.4.6</t>
  </si>
  <si>
    <t>Verify that the application does not expose detailed version information of backend components.</t>
  </si>
  <si>
    <t>V13.4.7</t>
  </si>
  <si>
    <t>Verify that the web tier is configured to only serve files with specific file extensions to prevent unintentional information, configuration, and source code leakage.</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</si>
  <si>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</si>
  <si>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</si>
  <si>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</si>
  <si>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</si>
  <si>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</si>
  <si>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</si>
  <si>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V14.2</t>
  </si>
  <si>
    <t>General Data Protection</t>
  </si>
  <si>
    <t>V14.2.1</t>
  </si>
  <si>
    <t>Verify that sensitive data is only sent to the server in the HTTP message body or header fields, and that the URL and query string do not contain sensitive information, such as an API key or session token.</t>
  </si>
  <si>
    <t>V14.2.2</t>
  </si>
  <si>
    <t>Verify that the application prevents sensitive data from being cached in server components, such as load balancers and application caches, or ensures that the data is securely purged after use.</t>
  </si>
  <si>
    <t>V14.2.3</t>
  </si>
  <si>
    <t>Verify that defined sensitive data is not sent to untrusted parties (e.g., user trackers) to prevent unwanted collection of data outside of the application's control.</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</si>
  <si>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</si>
  <si>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</si>
  <si>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</si>
  <si>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</si>
  <si>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</si>
  <si>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</si>
  <si>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V14.2.7</t>
  </si>
  <si>
    <t>Verify that sensitive information is subject to data retention classification, ensuring that outdated or unnecessary data is deleted automatically, on a defined schedule, or as the situation requires.</t>
  </si>
  <si>
    <t>V14.2.8</t>
  </si>
  <si>
    <t>Verify that sensitive information is removed from the metadata of user-submitted files unless storage is consented to by the user.</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</si>
  <si>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</si>
  <si>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</si>
  <si>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</si>
  <si>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</si>
  <si>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V14.3.2</t>
  </si>
  <si>
    <t>Verify that the application sets sufficient anti-caching HTTP response header fields (i.e., Cache-Control: no-store) so that sensitive data is not cached in browsers.</t>
  </si>
  <si>
    <t>V14.3.3</t>
  </si>
  <si>
    <t>Verify that data stored in browser storage (such as localStorage, sessionStorage, IndexedDB, or cookies) does not contain sensitive data, with the exception of session tokens.</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</si>
  <si>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</si>
  <si>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</si>
  <si>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</si>
  <si>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</si>
  <si>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V15.1.2</t>
  </si>
  <si>
    <t>Verify that an inventory catalog, such as software bill of materials (SBOM), is maintained of all third-party libraries in use, including verifying that components come from pre-defined, trusted, and continually maintained repositories.</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</si>
  <si>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</si>
  <si>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</si>
  <si>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V15.1.4</t>
  </si>
  <si>
    <t>Verify that application documentation highlights third-party libraries which are considered to be "risky components".</t>
  </si>
  <si>
    <t>V15.1.5</t>
  </si>
  <si>
    <t>Verify that application documentation highlights parts of the application where "dangerous functionality" is being used.</t>
  </si>
  <si>
    <t>V15.2</t>
  </si>
  <si>
    <t>Security Architecture and Dependencies</t>
  </si>
  <si>
    <t>V15.2.1</t>
  </si>
  <si>
    <t>Verify that the application only contains components which have not breached the documented update and remediation time frames.</t>
  </si>
  <si>
    <t>V15.2.2</t>
  </si>
  <si>
    <t>Verify that the application has implemented defenses against loss of availability due to functionality which is time-consuming or resource-demanding, based on the documented security decisions and strategies for this.</t>
  </si>
  <si>
    <t>V15.2.3</t>
  </si>
  <si>
    <t>Verify that the production environment only includes functionality that is required for the application to function, and does not expose extraneous functionality such as test code, sample snippets, and development functionality.</t>
  </si>
  <si>
    <t>V15.2.4</t>
  </si>
  <si>
    <t>Verify that third-party components and all of their transitive dependencies are included from the expected repository, whether internally owned or an external source, and that there is no risk of a dependency confusion attack.</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</si>
  <si>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</si>
  <si>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</si>
  <si>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V15.3</t>
  </si>
  <si>
    <t>Defensive Coding</t>
  </si>
  <si>
    <t>V15.3.1</t>
  </si>
  <si>
    <t>Verify that the application only returns the required subset of fields from a data object. For example, it should not return an entire data object, as some individual fields should not be accessible to users.</t>
  </si>
  <si>
    <t>V15.3.2</t>
  </si>
  <si>
    <t>Verify that where the application backend makes calls to external URLs, it is configured to not follow redirects unless it is intended functionality.</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</si>
  <si>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</si>
  <si>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</si>
  <si>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</si>
  <si>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</si>
  <si>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</si>
  <si>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</si>
  <si>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V15.3.6</t>
  </si>
  <si>
    <t>Verify that JavaScript code is written in a way that prevents prototype pollution, for example, by using Set() or Map() instead of object literals.</t>
  </si>
  <si>
    <t>The application is a Java backend and does not use JavaScript on the server side. Prototype pollution is a JavaScript-specific vulnerability and is not applicable.</t>
  </si>
  <si>
    <t>V15.3.7</t>
  </si>
  <si>
    <t>Verify that the application has defenses against HTTP parameter pollution attacks, particularly if the application framework makes no distinction about the source of request parameters (query string, body parameters, cookies, or header fields).</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</si>
  <si>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</si>
  <si>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</si>
  <si>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</si>
  <si>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</si>
  <si>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</si>
  <si>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</si>
  <si>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</si>
  <si>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</si>
  <si>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</si>
  <si>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</si>
  <si>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</si>
  <si>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</si>
  <si>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</si>
  <si>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</si>
  <si>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V16.2</t>
  </si>
  <si>
    <t>General Logging</t>
  </si>
  <si>
    <t>V16.2.1</t>
  </si>
  <si>
    <t>Verify that each log entry includes necessary metadata (such as when, where, who, what) that would allow for a detailed investigation of the timeline when an event happens.</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</si>
  <si>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</si>
  <si>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</si>
  <si>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V16.2.3</t>
  </si>
  <si>
    <t>Verify that the application only stores or broadcasts logs to the files and services that are documented in the log inventory.</t>
  </si>
  <si>
    <t>V16.2.4</t>
  </si>
  <si>
    <t>Verify that logs can be read and correlated by the log processor that is in use, preferably by using a common logging format.</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</si>
  <si>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</si>
  <si>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</si>
  <si>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V16.3</t>
  </si>
  <si>
    <t>Security Events</t>
  </si>
  <si>
    <t>V16.3.1</t>
  </si>
  <si>
    <t>Verify that all authentication operations are logged, including successful and unsuccessful attempts. Additional metadata, such as the type of authentication or factors used, should also be collected.</t>
  </si>
  <si>
    <t>All authentication events are logged: successful logins (JWT validation success), failed authentication attempts (invalid/expired tokens), and logouts. Log entries include authentication method, user identity, timestamp, and client IP.</t>
  </si>
  <si>
    <t>V16.3.2</t>
  </si>
  <si>
    <t>Verify that failed authorization attempts are logged. For L3, this must include logging all authorization decisions, including logging when sensitive data is accessed (without logging the sensitive data itself).</t>
  </si>
  <si>
    <t>V16.3.3</t>
  </si>
  <si>
    <t>Verify that the application logs the security events that are defined in the documentation and also logs attempts to bypass the security controls, such as input validation, business logic, and anti-automation.</t>
  </si>
  <si>
    <t>V16.3.4</t>
  </si>
  <si>
    <t>Verify that the application logs unexpected errors and security control failures such as backend TLS failures.</t>
  </si>
  <si>
    <t>V16.4</t>
  </si>
  <si>
    <t>Log Protection</t>
  </si>
  <si>
    <t>V16.4.1</t>
  </si>
  <si>
    <t>Verify that all logging components appropriately encode data to prevent log injection.</t>
  </si>
  <si>
    <t>V16.4.2</t>
  </si>
  <si>
    <t>Verify that logs are protected from unauthorized access and cannot be modified.</t>
  </si>
  <si>
    <t>V16.4.3</t>
  </si>
  <si>
    <t>Verify that logs are securely transmitted to a logically separate system for analysis, detection, alerting, and escalation. The aim is to ensure that if the application is breached, the logs are not compromised.</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</si>
  <si>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</si>
  <si>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</si>
  <si>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</si>
  <si>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</si>
  <si>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V16.5.2</t>
  </si>
  <si>
    <t>Verify that the application continues to operate securely when external resource access fails, for example, by using patterns such as circuit breakers or graceful degradation.</t>
  </si>
  <si>
    <t>V16.5.3</t>
  </si>
  <si>
    <t>Verify that the application fails gracefully and securely, including when an exception occurs, preventing fail-open conditions such as processing a transaction despite errors resulting from validation logic.</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</si>
  <si>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</si>
  <si>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</si>
  <si>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</si>
  <si>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</si>
  <si>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</si>
  <si>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</si>
  <si>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</si>
  <si>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</si>
  <si>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</si>
  <si>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</si>
  <si>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</si>
  <si>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</si>
  <si>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</si>
  <si>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</si>
  <si>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</si>
  <si>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</si>
  <si>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</si>
  <si>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</si>
  <si>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</si>
  <si>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</si>
  <si>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</si>
  <si>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</si>
  <si>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</si>
  <si>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</si>
  <si>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</si>
  <si>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</si>
  <si>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</si>
  <si>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</si>
  <si>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</si>
  <si>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</si>
  <si>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</si>
  <si>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</si>
  <si>
    <t>The application is implemented using Java, the language already provides automatic memory management and eliminate direct use of pointers. As a result, risks such as buffer overflows, stack overflows, and unsafe memory operations are mitigated by the runtime environment. No unmanaged code or manual memory handling is used.</t>
  </si>
  <si>
    <t>The application is implemented using Java,  the language provides automatic memory management through garbage collection, eliminating risks such as use-after-free and dangling pointers. The application does not use unmanaged code or manual memory allocation. Resource management - database connections - is handled using safe language and framework constructs, such as Java’s try-with-resources for automatic resource closure and Spring Boot’s integration with JPA/Hibernate for managed database connections and transaction handling.</t>
  </si>
  <si>
    <t>The application uses an external authentication provider (Auth0) to issue authentication cookies. According to Auth0’s security guidelines, authentication cookies are configured with the Secure attribute, ensuring they are only transmitted over HTTPS. This was verified by inspecting the Set-Cookie headers in the browser, where authentication cookies include the Secure flag. Additionally, the application enforces HTTPS for all communications, ensuring compliance with this requirement.</t>
  </si>
  <si>
    <t>Authentication cookies are managed by Auth0, which configures the SameSite attribute according to modern security standards (typically SameSite=None with Secure for cross-site authentication flows). This behavior was verified through inspection of the Set-Cookie headers in the browser. The configuration mitigates CSRF risks while maintaining compatibility with cross-origin authentication, satisfying the requirement.</t>
  </si>
  <si>
    <t>Authentication cookies issued by Auth0 include the HttpOnly attribute, preventing access from client-side scripts and mitigating XSS-related risks. This was verified by inspecting the Set-Cookie headers in the browser developer tools. Additionally, sensitive tokens are only transmitted via cookies and not exposed through JavaScript-accessible storage, ensuring compliance with this requirement.</t>
  </si>
  <si>
    <t>The application does not directly create or manage authentication cookies, as these are handled by Auth0. Auth0 uses standard JWT-based tokens and cookie configurations that comply with browser limitations (maximum 4096 bytes per cookie). This is supported by Auth0 documentation and validated through inspection of cookie sizes in the browser, confirming they remain within acceptable limits.</t>
  </si>
  <si>
    <t>The application uses Auth0 as an external Identity Provider (IdP) via OIDC. 
JWT tokens are validated in the backend, including signature, issuer, audience, and expiration.</t>
  </si>
  <si>
    <t>Define whether concurrent session limits are enforced by IdP(Identity Provider), the backend, or both.</t>
  </si>
  <si>
    <t>The backend acts as a resource server, not an OAuth client. Scope configuration is managed in Auth0 dashboard.</t>
  </si>
  <si>
    <t>No custom encryption scheme is implemented by the application.</t>
  </si>
  <si>
    <t>No direct nonce/IV management in custom encryption code.</t>
  </si>
  <si>
    <t>No custom encrypt-then-MAC construction is implemented.</t>
  </si>
  <si>
    <t>OCSP stapling configuration is out of scope. Certificate revocation relies on default platform/CA behavior.</t>
  </si>
  <si>
    <t>The current single-backend architecture does not use inter-service TLS with internal CAs or self-signed certificates.</t>
  </si>
  <si>
    <t>No default credentials are used. All service credentials (database, Auth0, APIs) are explicitly configured per environment using secure values provided via environment variables or secret stores.</t>
  </si>
  <si>
    <t>Production deployments exclude source control metadata (.git, .svn). Docker images are built from clean artifacts, ensuring no development files are exposed.</t>
  </si>
  <si>
    <t>The application minimizes exposure of version information by configuring server headers and disabling unnecessary framework disclosures where applicable.</t>
  </si>
  <si>
    <t>The current backend-only API does not serve mixed static/dynamic content vulnerable to this attack pattern.</t>
  </si>
  <si>
    <t>The application does not process payment card data; purchases exclude payment integration.</t>
  </si>
  <si>
    <t xml:space="preserve"> No automatic purge policy is implemented.</t>
  </si>
  <si>
    <t>File upload with metadata is not a feature in the current application scope.</t>
  </si>
  <si>
    <t>No frontend is developed (backend-only API). Client-side storage cleanup is not applicable without a browser client.</t>
  </si>
  <si>
    <t xml:space="preserve">No frontend is developed. </t>
  </si>
  <si>
    <t>No frontend is developed. Browser storage controls (localStorage, sessionStorage, cookies) are not applicable without a client application.</t>
  </si>
  <si>
    <t>All third-party dependencies are monitored for known vulnerabilities via automated tools.</t>
  </si>
  <si>
    <t>Security-sensitive operations (authentication, authorization, token validation) are clearly identified in the architecture documentation.</t>
  </si>
  <si>
    <t>Formal supply chain verification (signed packages, repository pinning) is out of scope. Dependencies are sourced from Maven Central / npm registry.</t>
  </si>
  <si>
    <t>Out of scope</t>
  </si>
  <si>
    <t>The application does not perform arbitrary OS command execution in request flows. File writes are restricted and sandboxed by `ReceiptFileService`.</t>
  </si>
  <si>
    <t>The application does not expose generic URL-fetching endpoints that accept arbitrary hosts. Any outbound calls are to trusted backends or validated sources (none found that accept open URLs).</t>
  </si>
  <si>
    <t xml:space="preserve"> The application does not implement complex allocation/booking resources requiring distributed locks; quantity checks are enforced but no explicit locking mechanism (pessimistic/optimistic lock) was found for seat-like resources.</t>
  </si>
  <si>
    <t>The application does not create host-prefixed cookies; cookies created by the framework are standard session cookies managed by container.</t>
  </si>
  <si>
    <t>Single-application repository; hosting and multi-app deployment are environment concerns outside the application code.</t>
  </si>
  <si>
    <t>The application delegates authentication to a single external provider (Auth0) via OAuth2/JWT; there are no multiple internal authentication pathways to harmonise.</t>
  </si>
  <si>
    <t>Password storage and policies are managed by the external identity provider (Auth0); the application does not implement or enforce password rules directly.</t>
  </si>
  <si>
    <t>Password change flows are provided by the identity provider (Auth0), not implemented in-application.</t>
  </si>
  <si>
    <t>Handled by Auth0 (external service).</t>
  </si>
  <si>
    <t>Password strength/breach checks are the responsibility of Auth0 when used as the identity provider; the application does not perform these checks.</t>
  </si>
  <si>
    <t>Password composition rules are managed by Auth0.</t>
  </si>
  <si>
    <t>The application does not render a login UI; authentication is delegated to Auth0-hosted pages or client applications.</t>
  </si>
  <si>
    <t>UI-level behavior is outside the scope of this backend service; identity provider should manage UX policies.</t>
  </si>
  <si>
    <t>Authentication handled by Auth0; the application validates JWTs rather than raw passwords.</t>
  </si>
  <si>
    <t>Password policies are enforced by the identity provider (Auth0).</t>
  </si>
  <si>
    <t>Rotation and compromise handling are managed by the identity provider; the application doesn't enforce periodic rotation.</t>
  </si>
  <si>
    <t>This is an identity-provider concern (Auth0); application delegates credential management.</t>
  </si>
  <si>
    <t>Breach-checking delegated to Auth0 or external identity provider.</t>
  </si>
  <si>
    <t>Single authentication pathway (Auth0/OAuth2 resource server). No undocumented authentication pathways were found.</t>
  </si>
  <si>
    <t>Client-side authorization flows (PKCE, nonce, state) are out-of-scope for this backend service. The application relies on the IdP (Auth0) and client apps to correctly implement these protections.</t>
  </si>
  <si>
    <t>Authorization server behaviour (redirect URI validation, code issuance, PKCE) is the responsibility of the IdP (Auth0) and not implemented in this service.</t>
  </si>
  <si>
    <t xml:space="preserve"> </t>
  </si>
  <si>
    <t>Authorization server replay/one-time-code protections are handled by the IdP (Auth0).</t>
  </si>
  <si>
    <t>Code expiration is enforced by the authorization server.</t>
  </si>
  <si>
    <t>PKCE enforcement is an IdP capability and must be configured at the authorization server.</t>
  </si>
  <si>
    <t>OpenID Provider behaviour is delegated to Auth0; the application does not act as an OP.</t>
  </si>
  <si>
    <t>delegated to IdP.</t>
  </si>
  <si>
    <t>Consent UI and flows are provided by the IdP (Auth0) and by client applications; not implemented in this backend repo.</t>
  </si>
  <si>
    <t>Delegated to the IdP (Auth0) and to client applications.</t>
  </si>
  <si>
    <t>The application does not store user passwords; authentication and password management are delegated to Auth0.</t>
  </si>
  <si>
    <t>Cryptographic operations are delegated to external IdP (Auth0) and JVM crypto providers; there is no use of an in-repo isolated security module or HSM.</t>
  </si>
  <si>
    <t>No rotation schedules or expiration policies are documented in the repo. Rotation is expected to be handled by the secret-management system or IdP in deployments.</t>
  </si>
  <si>
    <t>No SBOM or automated SBOM generation is present in the repository. The `pom.xml` implicitly lists dependencies but an SBOM (CycloneDX/SPDX) should be generated and stored for releases.</t>
  </si>
  <si>
    <t>No in-repo configuration for log shipping to external systems. Recommend configuring Logback appenders or agent-based shipping (Filebeat) to a secured, separate logging cluster.</t>
  </si>
  <si>
    <t>Request data is received through Spring MVC parameter binding (@RequestBody, @PathVariable) and validated using Bean Validation before being processed by the service layer. No use of manual decoding operations.</t>
  </si>
  <si>
    <t>MovieController, OrderController, RefundController and UserController code review.</t>
  </si>
  <si>
    <t>API responses are returned as DTOs and serialized automatically by Jackson through Spring Boot. No use of manual JSON construction or direct response writing mechanisms.</t>
  </si>
  <si>
    <t xml:space="preserve">https://www.baeldung.com/jackson-vs-gson </t>
  </si>
  <si>
    <t>API responses are returned as DTOs and serialized by Jackson. No use of manual generation of HTML, XML, or JSON content.</t>
  </si>
  <si>
    <t>Controller code review; Spring Boot/Jackson serialization.</t>
  </si>
  <si>
    <t>Controller code review, Spring Boot/Jackson serialization.</t>
  </si>
  <si>
    <t>No dynamic URL construction using user-controlled input was identified. Generated resource URLs use application-generated identifiers only, and no outbound HTTP requests to user-supplied destinations were found.</t>
  </si>
  <si>
    <t>MovieController and RefundController (URI.create(...) with application-generated IDs); controller code review.</t>
  </si>
  <si>
    <t>JSON responses are generated through DTO serialization using Jackson. No use of manual JSON construction or string concatenation.</t>
  </si>
  <si>
    <t>Database access is performed exclusively through Spring Data JPA repositories and Hibernate ORM. No use of dynamic SQL construction, native queries, or direct JDBC operations.</t>
  </si>
  <si>
    <t>Database operations use Spring Data JPA repositories and Hibernate ORM. No use of SQL string concatenation or native query construction.</t>
  </si>
  <si>
    <t>Regular expressions are defined using fixed application-controlled patterns. No use of dynamic regular expression construction using user-controlled input.</t>
  </si>
  <si>
    <t>Auth0ManagementClient (Pattern.compile, matcher().matches()); ReceiptFileService (replaceAll() with application-defined pattern); code review.</t>
  </si>
  <si>
    <t>No dynamic code execution mechanisms (e.g., SpEL evaluation, scripting engines, or runtime command execution) were identified. Application logic is statically defined and user input is not executed as code.</t>
  </si>
  <si>
    <t>Application code review.</t>
  </si>
  <si>
    <t>User input is validated using Bean Validation constraints and additional sanitization is applied before use in sensitive contexts such as receipt file generation.</t>
  </si>
  <si>
    <t>DTO/entity validation annotations; application code review.</t>
  </si>
  <si>
    <t>Logging and formatting operations use static format strings with user input supplied as parameters. No use of user-controlled format strings.</t>
  </si>
  <si>
    <t>Controller and service layer code review; SLF4J parameterized logging usage.</t>
  </si>
  <si>
    <t>Regular expressions are limited to fixed application-defined patterns and are not constructed from user input. Identified patterns are simple and do not contain nested quantifiers or other constructs associated with exponential backtracking. Input length limits are also enforced where regex validation is applied.</t>
  </si>
  <si>
    <t>Auth0ManagementClient (Pattern.compile, matcher().matches(), user ID length validation); code review.</t>
  </si>
  <si>
    <t>Numeric inputs are validated using range constraints and business-rule checks. Monetary values use BigDecimal, and quantity fields enforce minimum allowed values.</t>
  </si>
  <si>
    <t>Movie entity validation constraints; OrderService validation logic, etc.</t>
  </si>
  <si>
    <t>Request payloads are deserialized into explicitly defined DTO classes using Spring Boot and Jackson. No polymorphic or user-controlled type deserialization mechanisms were identified.</t>
  </si>
  <si>
    <t>Controller request bindings (@RequestBody DTOs); Spring Boot/Jackson configuration.</t>
  </si>
  <si>
    <t>JSON processing is handled consistently through Spring Boot and Jackson. No alternative parsers for the same data types are used.</t>
  </si>
  <si>
    <t>Spring Boot/Jackson configuration; application code review.</t>
  </si>
  <si>
    <t>The application validates input against predefined business and structural constraints using Bean Validation annotations and controller-level validation. Request DTOs enforce mandatory fields, size restrictions, and numeric ranges before business logic execution. Additional business-rule validation is performed in the service layer, including duplicate movie detection, stock availability checks, purchase quantity limits, and refund eligibility validation.</t>
  </si>
  <si>
    <t>Input validation is enforced on the backend and does not rely on client-side controls. Incoming requests are validated through Bean Validation (@Valid) before reaching business logic. Service-layer methods perform additional validation of business constraints, such as purchase limits, duplicate movie detection, stock verification, and refund eligibility checks.</t>
  </si>
  <si>
    <t>The application validates relationships between related data items through business logic checks. Purchase requests are validated to ensure that referenced movies exist, stock quantities are sufficient, and duplicate movie IDs are not present within the same order. Refund requests are validated against existing orders and business constraints such as order status, ownership, and refund eligibility windows.</t>
  </si>
  <si>
    <t>Business workflows enforce a predefined sequence of operations. Users must be authenticated before accessing protected endpoints, purchases can only be created for authenticated users, and refund requests can only be submitted for existing orders associated with the requesting user. Business logic validations ensure that prerequisite steps are completed before subsequent operations are processed.</t>
  </si>
  <si>
    <t>Business constraints defined in the application requirements are enforced through validation and service-layer controls. Purchase requests are limited to a maximum of ten movies per order, duplicate movie entries are rejected, stock availability is verified before purchase completion, and monetary values and quantities are constrained through validation annotations.</t>
  </si>
  <si>
    <t>Business operations involving multiple persistence actions are executed within transactional boundaries using Spring's transaction management. Order creation, stock updates, and database persistence occur within a single transaction, ensuring atomicity and preventing partial updates in case of failure.</t>
  </si>
  <si>
    <t>The application implements rate limiting controls through a dedicated request filter. Limits are enforced per IP address and per authenticated user, reducing the risk of denial-of-service attacks, automated abuse, brute-force attempts, and excessive resource consumption.</t>
  </si>
  <si>
    <t>RateLimitFilter, SecurityConfig classes and application.properties</t>
  </si>
  <si>
    <t>The application implements anti-automation controls through a dedicated RateLimitFilter that enforces request throttling on both IP addresses and authenticated users. Requests exceeding configured thresholds are rejected, reducing the risk of denial-of-service attacks, automated abuse, brute-force attempts, and excessive resource consumption.</t>
  </si>
  <si>
    <t>RateLimitFilter and SecurityConfi classes.</t>
  </si>
  <si>
    <t>The application includes the Strict-Transport-Security response header on HTTPS responses with the value max-age=31536000; includeSubDomains. This enforces HTTPS usage for at least one year and applies the policy to all subdomains. The configuration is implemented in the security filter layer and verified through automated tests.</t>
  </si>
  <si>
    <t>SecurityHeadersFilter, SecurityConfiguration and SecurityHeadersFilterTest classes</t>
  </si>
  <si>
    <t>The application enforces an allowlist-based CORS policy. The Origin header is only reflected in the response when it matches a configured trusted origin. No wildcard (*) policy is used.</t>
  </si>
  <si>
    <t>SecurityHeadersFilter and SecurityHeadersFilterTest classes</t>
  </si>
  <si>
    <t>The application explicitly sets the X-Content-Type-Options: nosniff header for all responses through a global security filter, preventing MIME type sniffing and content-type confusion attack</t>
  </si>
  <si>
    <t>The application sets the Referrer-Policy: no-referrer header on all responses, ensuring that no referrer information is leaked to external sites.</t>
  </si>
  <si>
    <t>The application validates the Origin header against a configured allowlist before returning CORS headers. Only trusted origins receive the Access-Control-Allow-Origin response header, and allowed request headers are explicitly defined (Authorization, Content-Type, X-Requested-With). This prevents unauthorized cross-origin access to sensitive functionality and ensures CORS behavior is restricted to approved origins.</t>
  </si>
  <si>
    <t>Sensitive business functionality is exposed exclusively through state-changing HTTP methods. Purchase creation, refund submission and processing, movie management, and user role administration use POST, PUT, or DELETE endpoints. GET endpoints are limited to read-only operations such as retrieving movies, refund requests, audit logs, and user information. No sensitive business operation was identified that can be executed through HTTP safe methods such as GET, HEAD, or OPTIONS.</t>
  </si>
  <si>
    <t>Application code review</t>
  </si>
  <si>
    <t>The application exposes REST endpoints through @RestController classes and returns responses using Spring Boot ResponseEntity objects. Spring's built-in message converters (Jackson) automatically serialize DTOs and error responses as JSON with the appropriate Content-Type header. A dedicated CustomErrorController and GlobalExceptionHandler also return structured responses through ResponseEntity, ensuring consistent content-type handling across normal and error responses.</t>
  </si>
  <si>
    <t>The application itself does not implement automatic HTTP-to-HTTPS redirection. HTTPS enforcement is delegated to infrastructure components outside the application scope. No redirect logic was identified in the application code.</t>
  </si>
  <si>
    <t>The application does not trust client-supplied forwarded headers by default. The RateLimitFilter uses the configuration property `emovieshop.rate-limit.trust-forwarded-headers`, which defaults to `false`, preventing end users from overriding infrastructure-managed headers such as `X-Forwarded-*`.</t>
  </si>
  <si>
    <t>API endpoints explicitly declare supported HTTP methods using Spring MVC annotations such as @GetMapping, @PostMapping, @PutMapping and @DeleteMapping. Unsupported methods are automatically rejected by the framework and handled through HttpRequestMethodNotSupportedException, resulting in HTTP 405 responses.</t>
  </si>
  <si>
    <t>Controllers and GlobalExceptionHandler classes.</t>
  </si>
  <si>
    <t>RateLimitFilter class.</t>
  </si>
  <si>
    <t>The application relies on Spring Boot with embedded Tomcat. HTTP message parsing and framing are delegated to these components, which implement RFC-compliant request parsing.</t>
  </si>
  <si>
    <t>HTTP response generation is delegated to Spring Boot and the embedded servlet container. The application does not manually construct HTTP responses or set Content-Length headers, allowing the framework to automatically generate consistent response framing and header values.</t>
  </si>
  <si>
    <t>All controllers returning ResponseEntity.</t>
  </si>
  <si>
    <t>The application does not generate or process connection-specific HTTP headers such as Transfer-Encoding. Protocol compliance is delegated to Spring Boot and the embedded Tomcat server. No custom HTTP/2 or HTTP/3 header handling logic was identified.</t>
  </si>
  <si>
    <t>HTTP response headers are set using fixed server-side values. No user-controlled input is used when constructing HTTP header names or values. Header parsing and validation are additionally enforced by Spring Boot and Tomcat, preventing CRLF injection attacks.</t>
  </si>
  <si>
    <t>SecurityHeadersFilter class.</t>
  </si>
  <si>
    <t>The application constrains user-controlled input through Bean Validation annotations and server-side request size limits. Input fields used in requests are restricted using maximum lengths (e.g., movie titles, receipt names, refund reasons), and request payloads are limited at the server level. These controls reduce the risk of generating oversized HTTP requests, URIs, or headers that could cause denial-of-service conditions or be rejected by receiving components.</t>
  </si>
  <si>
    <t>Receipt filenames derived from user input are sanitized using an allowlist ([a-zA-Z0-9 _-]), null bytes are removed, and filename length is restricted. File paths are resolved against a fixed receipts directory, normalized, and validated using startsWith(receiptsDirectory) to prevent path traversal. Receipt files are created only within the trusted receipts directory using internally generated path components.</t>
  </si>
  <si>
    <t>Receipt File Service class.</t>
  </si>
  <si>
    <t>Session durations are intentionally shorter for privileged roles (Admins and Support) due to the higher impact of account compromise. Customer sessions are allowed longer durations to balance usability and security. Critical operations require recent authentication regardless of session validity.</t>
  </si>
  <si>
    <t>Auth0 is responsible for authentication, token issuance, refresh token rotation, session expiration, and re-authentication policies. The backend is responsible for JWT validation, authorization, and token claim verification. Session termination occurs through Auth0 token expiration or explicit logout.</t>
  </si>
  <si>
    <t>threatModel.md, domainAnalysisAndRequirements.md and development.md files.</t>
  </si>
  <si>
    <t>The application operates as a stateless OAuth2 Resource Server. All JWT access tokens are validated server-side by Spring Security before access to protected resources is granted. Token signature validation is performed against Auth0's JWKS endpoint, while issuer, expiration (exp), not-before (nbf), and audience (aud) claims are verified by the backend. No authorization decisions rely on client-side token validation.</t>
  </si>
  <si>
    <t>Session management relies on dynamically generated JWT access tokens issued by Auth0. Tokens contain signed claims, expiration timestamps, and are validated against the issuer's public keys. Static API keys, shared credentials, or hardcoded session identifiers are not used as user session mechanisms. Refresh tokens are also dynamically generated and managed by the Identity Provider.</t>
  </si>
  <si>
    <t>Session token issuance, renewal, and re-authentication are delegated to Auth0. New access tokens are generated upon successful authentication and token refresh operations. Refresh Token Rotation is enabled, causing refresh tokens to be replaced on every use and immediately invalidating previously issued refresh tokens, reducing replay attack risks. Session lifecycle management is therefore enforced by the Identity Provider.</t>
  </si>
  <si>
    <t>User sessions are managed through Auth0-issued access and refresh tokens. Access tokens expire after 1 hour and refresh tokens expire after 7 days of inactivity. The backend enforces inactivity timeout indirectly by validating token expiration and rejecting expired tokens on every request. Re-authentication is required when a valid token can no longer be obtained from the Identity Provider.</t>
  </si>
  <si>
    <t>Auth0 enforces an absolute refresh token lifetime of approximately 1 year. Once this limit is reached, users must authenticate again to obtain new credentials. The backend validates token expiration and rejects tokens that exceed their validity period.</t>
  </si>
  <si>
    <t>Session expiration is enforced through JWT validation and Auth0 token lifetime policies. Refresh Token Rotation invalidates previously issued refresh tokens after use. However, compliance with logout-based session invalidation requires implementation of a logout revocation mechanism (e.g., logout timestamp validation, token denylist, or Auth0 logout session propagation)</t>
  </si>
  <si>
    <t>development.md file and SecurityConfig class.</t>
  </si>
  <si>
    <t>development.md file.</t>
  </si>
  <si>
    <t>development.md file</t>
  </si>
  <si>
    <t>No backend enforcement of step-up authentication has been implemented.</t>
  </si>
  <si>
    <t>The application operates as a Relying Party (RP) while Auth0 acts as the Identity Provider (IdP). Session lifetimes, token expiration, refresh token rotation, and re-authentication requirements are defined by Auth0 and enforced by the backend through JWT validation. Access tokens, refresh token inactivity limits, and absolute refresh token lifetime are documented and consistently validated.</t>
  </si>
  <si>
    <t>Application sessions are created only after a successful authentication flow initiated by the user through Auth0. The backend does not create sessions automatically or anonymously. Access tokens are issued only following explicit user authentication, and the application operates in stateless mode without server-side session creation.</t>
  </si>
  <si>
    <t>Function-level authorization is enforced server-side through the RoleGuard component. Protected endpoints explicitly validate the required role against the roles contained in the Auth0 JWT claim (https://emovieshop.com/roles). Access is denied when the required role is not present, ensuring that administrative and business-sensitive functions are restricted to authorized users only.</t>
  </si>
  <si>
    <t>RoleGuard, Controllers and development.md.</t>
  </si>
  <si>
    <t>Data-specific authorization is enforced using ownership validation. Before creating a refund request, the application verifies that the authenticated user's Auth0 identifier matches the owner of the referenced order. Requests involving resources owned by other users are rejected with an access denied error, preventing IDOR and BOLA vulnerabilities.</t>
  </si>
  <si>
    <t>RefundService class and development.md documentation.</t>
  </si>
  <si>
    <t>Function-level authorization is enforced server-side through the RoleGuard component. Controllers explicitly validate the authenticated user's role before executing protected operations.</t>
  </si>
  <si>
    <t>Ownership validation is enforced in the service layer. Before creating a refund request, the application verifies that the authenticated user's Auth0 identifier matches the owner of the target order. This mitigates IDOR/BOLA attacks by preventing access to resources belonging to other users.</t>
  </si>
  <si>
    <t>The application uses dedicated DTOs to control which resource attributes are exposed through the API. Controllers and services return DTO representations rather than persistence entities, preventing unauthorized exposure or modification of internal fields.</t>
  </si>
  <si>
    <t>Authorization decisions are enforced on the backend using trusted components (RoleGuard, controllers, and service layer logic). Access control does not depend on client-side enforcement mechanisms.
Critical ownership checks are also performed within services, ensuring that authorization remains effective even if a malicious client bypasses frontend controls.</t>
  </si>
  <si>
    <t>RoleGuard, Controllers and Services implementation.</t>
  </si>
  <si>
    <t>Authorization decisions are based on Auth0-issued JWT claims. Since role assignments are embedded in self-contained tokens, authorization changes may not take effect until token renewal. To reduce this exposure window, access tokens are configured with a limited lifetime (1 hour) and refresh token rotation is enabled.</t>
  </si>
  <si>
    <t>development.md.</t>
  </si>
  <si>
    <t>The backend validates Auth0-issued JWTs before trusting any token claims. Spring Security OAuth2 Resource Server verifies the JWT digital signature using the Auth0 JWKS endpoint. Only successfully validated tokens are accepted and made available to controllers, services, and authorization guards.
Token claims such as sub, aud, exp, nbf, and custom role claims are only processed after successful cryptographic verification.</t>
  </si>
  <si>
    <t>JWT validation is delegated to Spring Security's OAuth2 Resource Server and Auth0. The application accepts only tokens signed using the algorithm configured by the trusted Auth0 issuer. Tokens using insecure algorithms such as alg=none are rejected during signature validation.
The application relies exclusively on asymmetric JWT validation through Auth0-issued tokens and does not support a mixture of symmetric and asymmetric verification modes, preventing key-confusion attacks.</t>
  </si>
  <si>
    <t>JWT signature verification uses key material obtained exclusively from the pre-configured Auth0 issuer and its JWKS endpoint. The issuer URI is statically configured in the backend and validated by Spring Security.
The application does not dynamically trust token-supplied key references such as jku, jwk, or x5u, preventing attackers from supplying alternative signing keys.</t>
  </si>
  <si>
    <t>The backend validates token validity periods through Spring Security's JWT validation pipeline. JwtValidators.createDefaultWithIssuer() enforces standard JWT temporal claims, including:
exp (expiration time)
nbf (not before)
Expired or not-yet-valid tokens are rejected with 401 Unauthorized.
A 60-second clock-skew tolerance is configured to accommodate minor clock differences between systems.</t>
  </si>
  <si>
    <t>domainAnalysisAndRequirements.md and development.md files.</t>
  </si>
  <si>
    <t>The application operates as an OAuth2 Resource Server and only accepts Auth0-issued access tokens as Bearer credentials for API authorization.
Authorization decisions are never based on ID tokens. Controllers, services, and authorization components consume only validated access tokens provided by Spring Security's OAuth2 Resource Server infrastructure.</t>
  </si>
  <si>
    <t>architectureAndDesign.md, domainAnalysisAndRequirements.md and development.md files.</t>
  </si>
  <si>
    <t>The backend validates the JWT aud claim using a custom AudienceValidator. Tokens are accepted only when the audience matches the configured API audience (emovieshop-api).
This prevents tokens issued for other Auth0 applications, clients, or APIs from being reused against the eMovieShop backend.</t>
  </si>
  <si>
    <t>SecurityConfig and development.md documentation.</t>
  </si>
  <si>
    <t>Auth0 may issue tokens for multiple applications using the same issuer infrastructure. To prevent cross-service token reuse, all authorization tokens are validated against the API-specific audience (aud) claim.
The backend rejects tokens whose audience does not match the configured eMovieShop API audience, ensuring that tokens issued for different clients, APIs, or relying parties cannot be reused.</t>
  </si>
  <si>
    <t>domainAnalysisAndRequirements.md, threatModel.md and development.md files.</t>
  </si>
  <si>
    <t>The architecture follows an OAuth2 Resource Server model where JWT access tokens are transmitted only to the backend API through the Authorization: Bearer header. The backend validates tokens locally and does not forward access tokens to downstream services or expose them to unnecessary components.
Authentication is delegated to Auth0, while authorization decisions are performed exclusively by the backend resource server.</t>
  </si>
  <si>
    <t>The backend validates the JWT aud claim through a dedicated AudienceValidator. Only access tokens issued for the configured API audience (emovieshop-api) are accepted.
Tokens issued for other Auth0 applications, APIs, or clients are rejected before any authorization decision is performed.</t>
  </si>
  <si>
    <t>SecurityConfig and AudienceValidator classes.</t>
  </si>
  <si>
    <t>Authorization decisions are derived from validated JWT claims.</t>
  </si>
  <si>
    <t>RoleGuard and Controllers classes.</t>
  </si>
  <si>
    <t>The application identifies users through the JWT sub claim issued by Auth0. This claim is used consistently throughout the backend as the authoritative user identifier for ownership checks, audit logging, and authorization decisions.</t>
  </si>
  <si>
    <t>SecurityConfig, Controllers and Services classes.</t>
  </si>
  <si>
    <t>The application operates as an OAuth2 Resource Server and therefore does not use ID Tokens for authorization decisions. User identity is established from the validated Auth0 access token using the sub claim, which is a stable and globally unique identifier within the Auth0 tenant and cannot be reassigned to another user.
The JWT issuer (iss) is also validated, ensuring that user identity is derived from the trusted combination of issuer and subject claims.</t>
  </si>
  <si>
    <t>JWT signing keys are generated, stored, rotated, and retired by Auth0. Private signing keys never leave the Identity Provider and are not shared with the application. The backend only consumes public verification keys through the trusted JWKS endpoint and validates tokens against the configured issuer. Ownership of cryptographic material is clearly separated between Auth0 (signing keys) and the backend (verification configuration and application secrets), following a documented key lifecycle and management process.</t>
  </si>
  <si>
    <t>The project maintains a cryptographic inventory documenting all cryptographic assets used by the system, including Auth0 JWT signing keys (JWKS), JWT validation algorithms (RS256), TLS certificates, and application configuration secrets. The inventory defines ownership, intended usage, trust boundaries, and restrictions on how each cryptographic asset may be used.</t>
  </si>
  <si>
    <t>Cryptographic operations rely exclusively on industry-standard implementations. JWT issuance and signing are performed by Auth0, while token validation is handled by Spring Security OAuth2 Resource Server using standard JWT/JWS libraries. TLS protection relies on platform-supported cryptographic providers.</t>
  </si>
  <si>
    <t>Cryptographic configuration is externalized and supports algorithm, issuer, audience, certificate, and key rotation changes without application redesign. JWT validation relies on Auth0-managed signing keys and JWKS rotation, allowing future migration to stronger algorithms or cryptographic standards with minimal application changes.</t>
  </si>
  <si>
    <t>The application accepts only modern cryptographic algorithms and key sizes provided by Auth0 and the TLS infrastructure. JWTs are signed using RS256 and validated through trusted public keys, ensuring cryptographic strength consistent with current industry recommendations and a minimum security level of 128 bits.</t>
  </si>
  <si>
    <t>Cryptographic validation failures are handled using a deny-by-default approach. Invalid signatures, expired tokens, incorrect issuers, audiences, or malformed JWTs result in authentication failure and request rejection without revealing cryptographic details or sensitive implementation information to clients.</t>
  </si>
  <si>
    <t>The application relies on Auth0 and standard Spring Security cryptographic libraries for token signing and verification. Only approved cryptographic hash and signature algorithms configured by the trusted identity provider are accepted. Legacy and insecure algorithms such as MD5, SHA-1, and JWT alg=none are not permitted for any security-sensitive operation.</t>
  </si>
  <si>
    <t>JWT integrity and authenticity are protected through RS256 signatures issued by Auth0. The underlying SHA-256 hash function provides collision resistance appropriate for digital signature verification, ensuring that token contents cannot be modified without detection.</t>
  </si>
  <si>
    <t>Security-sensitive random values such as access tokens, refresh tokens, signing key material, and authentication challenges are generated by Auth0 using cryptographically secure random number generators. The application does not implement custom random number generation for security-critical functions and relies on platform-provided CSPRNG mechanisms where randomness is required.</t>
  </si>
  <si>
    <t>Cryptographic key generation and digital signature creation are delegated to Auth0. The backend performs token verification using trusted JWT libraries and public keys obtained from the configured JWKS endpoint. No custom cryptographic algorithms, key generation routines, or signature implementations are used by the application.</t>
  </si>
  <si>
    <t>Communication between clients, Auth0, and the backend is protected using TLS provided by the hosting platform and Auth0 infrastructure. Secure key exchange mechanisms are therefore handled by</t>
  </si>
  <si>
    <t>Full memory encryption/in-use data encryption is outside the scope of this project.</t>
  </si>
  <si>
    <t>The application follows data minimization principles by processing only the information required for each business operation and exposing data through purpose-specific DTOs rather than domain entities. Sensitive information is not unnecessarily returned in API responses or audit logs. Authentication and authorization data are validated and used only for the duration of request processing, while communications are protected through TLS and sensitive tokens remain under Auth0 management.</t>
  </si>
  <si>
    <t>Production deployments are exposed only through HTTPS. Clients communicate with the application using TLS-protected connections and no HTTP endpoints are intended to be exposed externally. JWT bearer tokens are transmitted only over HTTPS.</t>
  </si>
  <si>
    <t>Virtual Machine configuration.</t>
  </si>
  <si>
    <t>Production deployments use publicly trusted TLS certificates managed by the hosting environment or reverse proxy. Self-signed certificates are not permitted in production deployments.</t>
  </si>
  <si>
    <t>External communications, including client-to-application and application-to-Auth0 communications, use TLS-protected HTTPS connections. Database communication currently occurs over a trusted internal network and does not enforce TLS; therefore this control is only partially satisfied and TLS database connectivity remains a future enhancement.</t>
  </si>
  <si>
    <t xml:space="preserve">External communications, including client-to-application and application-to-Auth0 communications, use TLS-protected HTTPS connections. </t>
  </si>
  <si>
    <t>The current architecture does not include separate internal HTTP-based services. Application components execute within a single Spring Boot service. External HTTP communications, such as Auth0 integration, use HTTPS/TLS.</t>
  </si>
  <si>
    <t>Sensitive data is identified and classified into protection levels (Public, Internal, Confidential). Personal data, JWT contents, orders, refunds, roles, and audit records are classified according to confidentiality and GDPR requirements.</t>
  </si>
  <si>
    <t>Protection requirements are documented per data classification level, including access control, transport encryption, integrity verification, logging restrictions, retention considerations, and privacy requirements.</t>
  </si>
  <si>
    <t>Authentication tokens are transmitted only in the Authorization header and business data is submitted in request bodies. Sensitive information is never included in URLs or query parameters.</t>
  </si>
  <si>
    <t>No use of cache mechanisms.</t>
  </si>
  <si>
    <t>The application does not integrate with analytics, tracking, advertising, or profiling services. External identity processing is delegated to Auth0, which receives only authentication-related information required for identity management.</t>
  </si>
  <si>
    <t>Implemented controls include HTTPS transport encryption, JWT signature validation, RBAC enforcement, centralized error handling, and restricted logging.</t>
  </si>
  <si>
    <t>All communication paths are documented, including client-to-API HTTPS traffic, backend-to-Auth0 communication for authentication and JWKS retrieval, backend-to-MySQL database connectivity, and deployment communications through GitHub Actions and SSH. The application does not accept user-supplied external endpoints, reducing SSRF exposure.</t>
  </si>
  <si>
    <t>domainAnalysisAndRequirements.md, architectureAndDesign.md and securityConfigurationAndInstallation.md files.</t>
  </si>
  <si>
    <t>Database connectivity uses Spring Boot and HikariCP connection pooling. Connection limits and timeout behaviour are managed through framework configuration.</t>
  </si>
  <si>
    <t>Database connections are managed through HikariCP pooling and automatically released by the framework. External communication with Auth0 relies on standard Spring Security components.</t>
  </si>
  <si>
    <t>Critical secrets are identified and documented, including database credentials, Auth0 configuration secrets, deployment SSH keys, and GitHub repository secrets.</t>
  </si>
  <si>
    <t>securityConfigurationAndInstallation.md file.</t>
  </si>
  <si>
    <t>Communication with Auth0 is authenticated through TLS and JWT validation. Database connections require authenticated database credentials. However, service-to-service authentication mechanisms such as mutual TLS, service identities, short-lived service tokens, or certificate-based authentication are not currently used because the architecture consists primarily of a single backend application communicating with Auth0 and MySQL.</t>
  </si>
  <si>
    <t xml:space="preserve">architectureAndDesign.md, threatModel.md and securityAndConfigurationAndInstallation.md files. </t>
  </si>
  <si>
    <t>Least-privilege principles are applied through RBAC and dedicated application credentials.</t>
  </si>
  <si>
    <t>The application only communicates with a limited set of known services, including Auth0 and MySQL.</t>
  </si>
  <si>
    <t>No application-level outbound allowlist is used. Network egress policies and firewall-based allowlists are expected to be enforced by infrastructure. The codebase contains no explicit host allowlist for outbound HTTP calls.</t>
  </si>
  <si>
    <t>Database connectivity relies on Spring Boot and HikariCP configuration. General connection management is documented.</t>
  </si>
  <si>
    <t>Secrets are not stored in source code and are managed through GitHub Secrets and deployment environment variables. This provides secure storage and controlled access.</t>
  </si>
  <si>
    <t>securityConfigurationAndInstallation.md and pipelineAutomation.md files.</t>
  </si>
  <si>
    <t>Access to deployment secrets is restricted to authorized GitHub Actions workflows and deployment infrastructure. Production credentials are not stored in source code and are not generally accessible to application users.</t>
  </si>
  <si>
    <t>Production environments disable development and debugging features. Detailed error messages and stack traces are disabled, Swagger/OpenAPI documentation is disabled by default in production, and remote debugging is not enabled in deployment configurations.</t>
  </si>
  <si>
    <t>The application exposes REST API endpoints only and does not provide filesystem browsing functionality. Static resources are served only through explicitly configured mappings, and directory listing functionality is not enabled.</t>
  </si>
  <si>
    <t>Not considered.</t>
  </si>
  <si>
    <t>Internal documentation and monitoring interfaces are not publicly exposed. OpenAPI/Swagger endpoints are disabled in production, and Actuator exposure is restricted to health monitoring endpoints only.</t>
  </si>
  <si>
    <t>architectureAndDesign.md and securityConfigurationAndInstallation.md files.</t>
  </si>
  <si>
    <t>The application exposes only explicitly defined REST API endpoints and does not provide arbitrary file retrieval functionality. Receipt files are written to a dedicated sandbox directory and are not exposed through generic file-serving endpoints, preventing source code, configuration file, or arbitrary file disclosure.</t>
  </si>
  <si>
    <t>The project defines risk-based remediation timeframes for third-party component vulnerabilities. Dependency monitoring is performed through OWASP Dependency-Check, Dependabot and CodeQL integrated into CI/CD pipelines. Critical and high-severity vulnerabilities are prioritized for immediate remediation, while lower-risk issues follow the project's defined maintenance process.</t>
  </si>
  <si>
    <t>domainAnalysisAndRequirements.md and pipelineAutomation.md files.</t>
  </si>
  <si>
    <t>The documentation identifies potentially resource-intensive functionality including movie catalog queries, order history retrieval, refund processing workflows and authentication-related operations. Rate limiting, request size limits, connection pooling and pagination requirements are defined to reduce the risk of resource exhaustion and availability degradation.</t>
  </si>
  <si>
    <t>domainAnalysisAndRequirements.md file.</t>
  </si>
  <si>
    <t>Dependency scanning is integrated into the CI/CD process using OWASP Dependency-Check, Dependabot and CodeQL. Build pipelines continuously monitor third-party components and vulnerabilities, supporting compliance with the project's remediation process.</t>
  </si>
  <si>
    <t>pipelineAutomation.md file and pipelines.</t>
  </si>
  <si>
    <t>The application implements availability protection mechanisms including API rate limiting, request size limits, database connection pooling, timeout controls and pagination requirements. These controls are intended to prevent excessive resource consumption and reduce denial-of-service risks.</t>
  </si>
  <si>
    <t>RateLimitFilter and SecurityHeadersFilter classes.</t>
  </si>
  <si>
    <t>Production deployments use a hardened Docker image built through a multi-stage build process. Development tooling, source code and build dependencies are excluded from runtime images. Swagger/OpenAPI documentation is disabled by default in production and only the health actuator endpoint is exposed.</t>
  </si>
  <si>
    <t>The architecture defines the use of DTOs between controllers and service layers, separating API payloads from internal domain entities. This design supports returning only the fields required by each operation and prevents direct exposure of persistence objects.</t>
  </si>
  <si>
    <t>The application communicates only with predefined trusted external services such as Auth0. External integrations are restricted and controlled through application configuration. Redirect handling is expected to follow framework defaults and trusted service requirements.</t>
  </si>
  <si>
    <t>The backend architecture uses DTOs as the boundary between HTTP requests and domain entities. Requests are validated and mapped through dedicated DTOs, preventing direct binding of external input to persistence entities and reducing mass assignment risks.</t>
  </si>
  <si>
    <t>Not implemented.</t>
  </si>
  <si>
    <t>The application is implemented in Java using strongly typed DTOs, domain models and service interfaces. Request payloads are validated during deserialization and business processing, reducing the risk of type confusion and type juggling vulnerabilities.</t>
  </si>
  <si>
    <t>All request input is validated through structured DTOs and controller mappings. The application relies on Spring Boot's parameter handling mechanisms and explicit validation rules to ensure predictable processing of request parameters.</t>
  </si>
  <si>
    <t>Shared resources such as database connections are managed through framework-provided thread-safe mechanisms, including Spring Boot request processing and HikariCP connection pooling. The architecture avoids exposing shared mutable state between request handlers.</t>
  </si>
  <si>
    <t>Transactional consistency is enforced through the persistence layer and aggregate design. The Order aggregate encapsulates refund-related operations to maintain consistency and prevent invalid state transitions during business workflows.</t>
  </si>
  <si>
    <t>The application uses managed execution environments provided by Spring Boot, servlet containers and database connection pools. Resource limits, request size controls and connection management settings help prevent resource exhaustion and support fair allocation of processing resources.</t>
  </si>
  <si>
    <t>domainAnalysisAndRequirements.md, architectureAndDesign.md and domainAnalysisAndRequirements.md files.</t>
  </si>
  <si>
    <t>Audit log entries contain the actor identifier, target user identifier, role involved, operation performed, and timestamp, providing traceability for administrative actions and supporting incident investigations.</t>
  </si>
  <si>
    <t>AuditLog and AuditLogService classes.</t>
  </si>
  <si>
    <t>Audit logs are stored in the application's persistence layer through AuditLogRepository.</t>
  </si>
  <si>
    <t>AuditLog aggregate code review.</t>
  </si>
  <si>
    <t>Audit logs follow a structured persistence model containing consistent fields for actor, target user, role, operation, and timestamp, facilitating correlation and analysis of administrative actions.</t>
  </si>
  <si>
    <t>Audit records store Auth0 user identifiers rather than credentials or authentication secrets. No passwords, tokens, or sensitive authentication material are persisted within audit log entries.</t>
  </si>
  <si>
    <t>Administrative audit log access is protected through role-based checks using RoleGuard.</t>
  </si>
  <si>
    <t>RoleGuard class and application code review.</t>
  </si>
  <si>
    <t>Access to audit log records is restricted to users with the ADMIN role. Audit log retrieval endpoints enforce role-based authorization through RoleGuard.</t>
  </si>
  <si>
    <t>RoleGuard class.</t>
  </si>
  <si>
    <t>Production configuration disables detailed error messages and stack traces (server.error.include-stacktrace=never and server.error.include-message=never), reducing exposure of internal implementation details.</t>
  </si>
  <si>
    <t>securityConfigurationAndInstallation.md file</t>
  </si>
  <si>
    <t>JWT validation depends on Auth0 and requests are denied when authentication cannot be validated. Database failures cause request failures rather than bypassing security controls. The architecture follows a fail-secure approach.</t>
  </si>
  <si>
    <t>architectureAndDesign.md file.</t>
  </si>
  <si>
    <t>Access to protected endpoints requires successful JWT validation and role verification. Authentication or authorization failures prevent request execution and access is denied by default.</t>
  </si>
  <si>
    <t>Error responses are sanitized and return generic messages such as "Access denied", "Invalid request", and "An unexpected error occurred". Internal exception details are logged server-side only.</t>
  </si>
  <si>
    <t>GlobalExceptionHandler file.</t>
  </si>
  <si>
    <t>A logging inventory is documented and defines the logging performed at the API, service, security, exception-handling, and persistence layers. The inventory specifies logged events (authentication, authorization, audit events, validation failures, exceptions, business operations), log format, storage location, retention period, intended usage for monitoring and investigations, and access-control requirements for log data.</t>
  </si>
  <si>
    <t>Application logs and audit records include timestamps. However, the current implementation uses LocalDateTime, which does not include timezone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</si>
</sst>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amily val="2"/>
      <charset val="1"/>
    </font>
    <font>
      <b/>
      <sz val="16"/>
      <color rgb="FFFFFFFF"/>
      <name val="Cambria"/>
      <charset val="1"/>
    </font>
    <font>
      <i/>
      <sz val="10"/>
      <color rgb="FF595959"/>
      <name val="Cambria"/>
      <charset val="1"/>
    </font>
    <font>
      <b/>
      <sz val="10"/>
      <name val="Cambria"/>
      <charset val="1"/>
    </font>
    <font>
      <b/>
      <sz val="9"/>
      <name val="Cambria"/>
      <charset val="1"/>
    </font>
    <font>
      <b/>
      <sz val="9"/>
      <color rgb="FFFFFFFF"/>
      <name val="Cambria"/>
      <charset val="1"/>
    </font>
    <font>
      <sz val="10"/>
      <name val="Cambria"/>
      <charset val="1"/>
    </font>
    <font>
      <b/>
      <sz val="11"/>
      <color rgb="FFFFFFFF"/>
      <name val="Cambria"/>
      <charset val="1"/>
    </font>
    <font>
      <b/>
      <sz val="10"/>
      <color rgb="FFFFFFFF"/>
      <name val="Cambria"/>
      <charset val="1"/>
    </font>
    <font>
      <b/>
      <sz val="10"/>
      <color rgb="FF1F3864"/>
      <name val="Cambria"/>
      <charset val="1"/>
    </font>
    <font>
      <u/>
      <sz val="11"/>
      <color theme="10"/>
      <name val="Calibri"/>
      <family val="2"/>
      <charset val="1"/>
    </font>
    <font>
      <u/>
      <sz val="11"/>
      <color rgb="FF000000"/>
      <name val="Calibri"/>
      <family val="2"/>
      <charset val="1"/>
    </font>
  </fonts>
  <fills count="12">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
      <patternFill patternType="solid">
        <fgColor rgb="FFF7FBFF"/>
        <bgColor rgb="FFF7FBFF"/>
      </patternFill>
    </fill>
    <fill>
      <patternFill patternType="solid">
        <fgColor theme="0"/>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0" fillId="0" borderId="0"/>
  </cellStyleXfs>
  <cellXfs count="36">
    <xf numFmtId="0" fontId="0" fillId="0" borderId="0" xfId="0"/>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9" fontId="6" fillId="4" borderId="1" xfId="0" applyNumberFormat="1"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xf numFmtId="0" fontId="10" fillId="4" borderId="1" xfId="1" applyFill="1" applyBorder="1" applyAlignment="1">
      <alignment horizontal="left" vertical="top" wrapText="1"/>
    </xf>
    <xf numFmtId="0" fontId="0" fillId="0" borderId="0" xfId="0" applyAlignment="1">
      <alignment horizontal="left" vertical="top" wrapText="1"/>
    </xf>
    <xf numFmtId="0" fontId="10" fillId="3" borderId="1" xfId="1" applyFill="1" applyBorder="1" applyAlignment="1">
      <alignment horizontal="left" vertical="top" wrapText="1"/>
    </xf>
    <xf numFmtId="0" fontId="0" fillId="10" borderId="1" xfId="0" applyFill="1" applyBorder="1" applyAlignment="1">
      <alignment horizontal="left" vertical="top" wrapText="1"/>
    </xf>
    <xf numFmtId="0" fontId="10" fillId="0" borderId="0" xfId="1"/>
    <xf numFmtId="0" fontId="10" fillId="0" borderId="0" xfId="1" applyAlignment="1">
      <alignment horizontal="left" vertical="top" wrapText="1"/>
    </xf>
    <xf numFmtId="0" fontId="11" fillId="3" borderId="1" xfId="0" applyFont="1" applyFill="1" applyBorder="1" applyAlignment="1">
      <alignment horizontal="left" vertical="top" wrapText="1"/>
    </xf>
    <xf numFmtId="0" fontId="0" fillId="11" borderId="1" xfId="0" applyFill="1" applyBorder="1" applyAlignment="1">
      <alignment horizontal="left" vertical="top" wrapText="1"/>
    </xf>
    <xf numFmtId="0" fontId="1" fillId="2" borderId="0" xfId="0" applyFont="1" applyFill="1" applyAlignment="1">
      <alignment horizontal="center" vertical="center"/>
    </xf>
    <xf numFmtId="0" fontId="0" fillId="0" borderId="0" xfId="0"/>
    <xf numFmtId="0" fontId="3" fillId="0" borderId="0" xfId="0" applyFont="1"/>
    <xf numFmtId="0" fontId="2" fillId="0" borderId="0" xfId="0" applyFont="1" applyAlignment="1">
      <alignment horizontal="center" vertical="center"/>
    </xf>
  </cellXfs>
  <cellStyles count="2">
    <cellStyle name="Hiperligaçã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1"/>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a:noFill/>
              <a:prstDash val="solid"/>
            </a:ln>
          </c:spPr>
          <c:invertIfNegative val="0"/>
          <c:dLbls>
            <c:spPr>
              <a:noFill/>
              <a:ln>
                <a:noFill/>
                <a:prstDash val="solid"/>
              </a:ln>
            </c:spPr>
            <c:txPr>
              <a:bodyPr/>
              <a:lstStyle/>
              <a:p>
                <a:pPr>
                  <a:defRPr sz="1000" b="0" strike="noStrike" spc="-1">
                    <a:latin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0.625</c:v>
                </c:pt>
                <c:pt idx="1">
                  <c:v>1</c:v>
                </c:pt>
                <c:pt idx="2">
                  <c:v>0.625</c:v>
                </c:pt>
                <c:pt idx="3">
                  <c:v>0.5</c:v>
                </c:pt>
                <c:pt idx="4">
                  <c:v>0.25</c:v>
                </c:pt>
                <c:pt idx="5">
                  <c:v>0.23076923076923078</c:v>
                </c:pt>
                <c:pt idx="6">
                  <c:v>0.66666666666666663</c:v>
                </c:pt>
                <c:pt idx="7">
                  <c:v>1</c:v>
                </c:pt>
                <c:pt idx="8">
                  <c:v>1</c:v>
                </c:pt>
                <c:pt idx="9">
                  <c:v>0</c:v>
                </c:pt>
                <c:pt idx="10">
                  <c:v>0.33333333333333331</c:v>
                </c:pt>
                <c:pt idx="11">
                  <c:v>0.66666666666666663</c:v>
                </c:pt>
                <c:pt idx="12">
                  <c:v>1</c:v>
                </c:pt>
                <c:pt idx="13">
                  <c:v>0.5</c:v>
                </c:pt>
                <c:pt idx="14">
                  <c:v>1</c:v>
                </c:pt>
                <c:pt idx="15" formatCode="General">
                  <c:v>0</c:v>
                </c:pt>
                <c:pt idx="16" formatCode="General">
                  <c:v>0</c:v>
                </c:pt>
              </c:numCache>
            </c:numRef>
          </c:val>
          <c:extLst>
            <c:ext xmlns:c16="http://schemas.microsoft.com/office/drawing/2014/chart" uri="{C3380CC4-5D6E-409C-BE32-E72D297353CC}">
              <c16:uniqueId val="{00000000-9627-4582-ABA8-23A9BA755226}"/>
            </c:ext>
          </c:extLst>
        </c:ser>
        <c:ser>
          <c:idx val="1"/>
          <c:order val="1"/>
          <c:tx>
            <c:strRef>
              <c:f>Summary!$H$5</c:f>
              <c:strCache>
                <c:ptCount val="1"/>
                <c:pt idx="0">
                  <c:v>L2
%</c:v>
                </c:pt>
              </c:strCache>
            </c:strRef>
          </c:tx>
          <c:spPr>
            <a:solidFill>
              <a:srgbClr val="FFEB9C"/>
            </a:solidFill>
            <a:ln>
              <a:noFill/>
              <a:prstDash val="solid"/>
            </a:ln>
          </c:spPr>
          <c:invertIfNegative val="0"/>
          <c:dLbls>
            <c:spPr>
              <a:noFill/>
              <a:ln>
                <a:noFill/>
                <a:prstDash val="solid"/>
              </a:ln>
            </c:spPr>
            <c:txPr>
              <a:bodyPr/>
              <a:lstStyle/>
              <a:p>
                <a:pPr>
                  <a:defRPr sz="1000" b="0" strike="noStrike" spc="-1">
                    <a:latin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0.36842105263157893</c:v>
                </c:pt>
                <c:pt idx="1">
                  <c:v>0.8571428571428571</c:v>
                </c:pt>
                <c:pt idx="2">
                  <c:v>0.36363636363636365</c:v>
                </c:pt>
                <c:pt idx="3">
                  <c:v>0.25</c:v>
                </c:pt>
                <c:pt idx="4">
                  <c:v>0</c:v>
                </c:pt>
                <c:pt idx="5">
                  <c:v>9.0909090909090912E-2</c:v>
                </c:pt>
                <c:pt idx="6">
                  <c:v>0.58333333333333337</c:v>
                </c:pt>
                <c:pt idx="7">
                  <c:v>0.66666666666666663</c:v>
                </c:pt>
                <c:pt idx="8">
                  <c:v>1</c:v>
                </c:pt>
                <c:pt idx="9">
                  <c:v>0.20833333333333334</c:v>
                </c:pt>
                <c:pt idx="10">
                  <c:v>0.72727272727272729</c:v>
                </c:pt>
                <c:pt idx="11">
                  <c:v>0.33333333333333331</c:v>
                </c:pt>
                <c:pt idx="12">
                  <c:v>0.75</c:v>
                </c:pt>
                <c:pt idx="13">
                  <c:v>0.5714285714285714</c:v>
                </c:pt>
                <c:pt idx="14">
                  <c:v>0.7</c:v>
                </c:pt>
                <c:pt idx="15">
                  <c:v>0.6875</c:v>
                </c:pt>
                <c:pt idx="16">
                  <c:v>0</c:v>
                </c:pt>
              </c:numCache>
            </c:numRef>
          </c:val>
          <c:extLst>
            <c:ext xmlns:c16="http://schemas.microsoft.com/office/drawing/2014/chart" uri="{C3380CC4-5D6E-409C-BE32-E72D297353CC}">
              <c16:uniqueId val="{00000001-9627-4582-ABA8-23A9BA755226}"/>
            </c:ext>
          </c:extLst>
        </c:ser>
        <c:ser>
          <c:idx val="2"/>
          <c:order val="2"/>
          <c:tx>
            <c:strRef>
              <c:f>Summary!$K$5</c:f>
              <c:strCache>
                <c:ptCount val="1"/>
                <c:pt idx="0">
                  <c:v>L3
%</c:v>
                </c:pt>
              </c:strCache>
            </c:strRef>
          </c:tx>
          <c:spPr>
            <a:solidFill>
              <a:srgbClr val="FABF8F"/>
            </a:solidFill>
            <a:ln>
              <a:noFill/>
              <a:prstDash val="solid"/>
            </a:ln>
          </c:spPr>
          <c:invertIfNegative val="0"/>
          <c:dLbls>
            <c:spPr>
              <a:noFill/>
              <a:ln>
                <a:noFill/>
                <a:prstDash val="solid"/>
              </a:ln>
            </c:spPr>
            <c:txPr>
              <a:bodyPr/>
              <a:lstStyle/>
              <a:p>
                <a:pPr>
                  <a:defRPr sz="1000" b="0" strike="noStrike" spc="-1">
                    <a:latin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0.66666666666666663</c:v>
                </c:pt>
                <c:pt idx="1">
                  <c:v>0.5</c:v>
                </c:pt>
                <c:pt idx="2">
                  <c:v>8.3333333333333329E-2</c:v>
                </c:pt>
                <c:pt idx="3">
                  <c:v>0.83333333333333337</c:v>
                </c:pt>
                <c:pt idx="4">
                  <c:v>0</c:v>
                </c:pt>
                <c:pt idx="5">
                  <c:v>0.25</c:v>
                </c:pt>
                <c:pt idx="6">
                  <c:v>0</c:v>
                </c:pt>
                <c:pt idx="7">
                  <c:v>0.16666666666666666</c:v>
                </c:pt>
                <c:pt idx="8" formatCode="General">
                  <c:v>0</c:v>
                </c:pt>
                <c:pt idx="9">
                  <c:v>0</c:v>
                </c:pt>
                <c:pt idx="10">
                  <c:v>0.3</c:v>
                </c:pt>
                <c:pt idx="11">
                  <c:v>0</c:v>
                </c:pt>
                <c:pt idx="12">
                  <c:v>0.75</c:v>
                </c:pt>
                <c:pt idx="13">
                  <c:v>0</c:v>
                </c:pt>
                <c:pt idx="14">
                  <c:v>0.375</c:v>
                </c:pt>
                <c:pt idx="15">
                  <c:v>1</c:v>
                </c:pt>
              </c:numCache>
            </c:numRef>
          </c:val>
          <c:extLst>
            <c:ext xmlns:c16="http://schemas.microsoft.com/office/drawing/2014/chart" uri="{C3380CC4-5D6E-409C-BE32-E72D297353CC}">
              <c16:uniqueId val="{00000002-9627-4582-ABA8-23A9BA755226}"/>
            </c:ext>
          </c:extLst>
        </c:ser>
        <c:ser>
          <c:idx val="3"/>
          <c:order val="3"/>
          <c:tx>
            <c:strRef>
              <c:f>Summary!$M$5</c:f>
              <c:strCache>
                <c:ptCount val="1"/>
                <c:pt idx="0">
                  <c:v>Overall
%</c:v>
                </c:pt>
              </c:strCache>
            </c:strRef>
          </c:tx>
          <c:spPr>
            <a:solidFill>
              <a:srgbClr val="579D1C"/>
            </a:solidFill>
            <a:ln>
              <a:noFill/>
              <a:prstDash val="solid"/>
            </a:ln>
          </c:spPr>
          <c:invertIfNegative val="0"/>
          <c:dLbls>
            <c:spPr>
              <a:noFill/>
              <a:ln>
                <a:noFill/>
                <a:prstDash val="solid"/>
              </a:ln>
            </c:spPr>
            <c:txPr>
              <a:bodyPr/>
              <a:lstStyle/>
              <a:p>
                <a:pPr>
                  <a:defRPr sz="1000" b="0" strike="noStrike" spc="-1">
                    <a:latin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0.46666666666666667</c:v>
                </c:pt>
                <c:pt idx="1">
                  <c:v>0.84615384615384615</c:v>
                </c:pt>
                <c:pt idx="2">
                  <c:v>0.32258064516129031</c:v>
                </c:pt>
                <c:pt idx="3">
                  <c:v>0.5</c:v>
                </c:pt>
                <c:pt idx="4">
                  <c:v>7.6923076923076927E-2</c:v>
                </c:pt>
                <c:pt idx="5">
                  <c:v>0.1702127659574468</c:v>
                </c:pt>
                <c:pt idx="6">
                  <c:v>0.57894736842105265</c:v>
                </c:pt>
                <c:pt idx="7">
                  <c:v>0.53846153846153844</c:v>
                </c:pt>
                <c:pt idx="8">
                  <c:v>1</c:v>
                </c:pt>
                <c:pt idx="9">
                  <c:v>0.1388888888888889</c:v>
                </c:pt>
                <c:pt idx="10">
                  <c:v>0.5</c:v>
                </c:pt>
                <c:pt idx="11">
                  <c:v>0.33333333333333331</c:v>
                </c:pt>
                <c:pt idx="12">
                  <c:v>0.76190476190476186</c:v>
                </c:pt>
                <c:pt idx="13">
                  <c:v>0.38461538461538464</c:v>
                </c:pt>
                <c:pt idx="14">
                  <c:v>0.61904761904761907</c:v>
                </c:pt>
                <c:pt idx="15">
                  <c:v>0.70588235294117652</c:v>
                </c:pt>
                <c:pt idx="16">
                  <c:v>0</c:v>
                </c:pt>
              </c:numCache>
            </c:numRef>
          </c:val>
          <c:extLst>
            <c:ext xmlns:c16="http://schemas.microsoft.com/office/drawing/2014/chart" uri="{C3380CC4-5D6E-409C-BE32-E72D297353CC}">
              <c16:uniqueId val="{00000003-9627-4582-ABA8-23A9BA755226}"/>
            </c:ext>
          </c:extLst>
        </c:ser>
        <c:dLbls>
          <c:showLegendKey val="0"/>
          <c:showVal val="0"/>
          <c:showCatName val="0"/>
          <c:showSerName val="0"/>
          <c:showPercent val="0"/>
          <c:showBubbleSize val="0"/>
        </c:dLbls>
        <c:gapWidth val="100"/>
        <c:axId val="28005530"/>
        <c:axId val="73737639"/>
      </c:barChart>
      <c:catAx>
        <c:axId val="28005530"/>
        <c:scaling>
          <c:orientation val="minMax"/>
        </c:scaling>
        <c:delete val="0"/>
        <c:axPos val="l"/>
        <c:numFmt formatCode="General" sourceLinked="1"/>
        <c:majorTickMark val="out"/>
        <c:minorTickMark val="none"/>
        <c:tickLblPos val="nextTo"/>
        <c:spPr>
          <a:ln>
            <a:solidFill>
              <a:srgbClr val="B3B3B3"/>
            </a:solidFill>
            <a:prstDash val="solid"/>
          </a:ln>
        </c:spPr>
        <c:txPr>
          <a:bodyPr/>
          <a:lstStyle/>
          <a:p>
            <a:pPr>
              <a:defRPr sz="1000" b="0" strike="noStrike" spc="-1">
                <a:latin typeface="Arial"/>
              </a:defRPr>
            </a:pPr>
            <a:endParaRPr lang="pt-PT"/>
          </a:p>
        </c:txPr>
        <c:crossAx val="73737639"/>
        <c:crosses val="autoZero"/>
        <c:auto val="1"/>
        <c:lblAlgn val="ctr"/>
        <c:lblOffset val="100"/>
        <c:noMultiLvlLbl val="0"/>
      </c:catAx>
      <c:valAx>
        <c:axId val="73737639"/>
        <c:scaling>
          <c:orientation val="minMax"/>
        </c:scaling>
        <c:delete val="0"/>
        <c:axPos val="b"/>
        <c:majorGridlines>
          <c:spPr>
            <a:ln>
              <a:solidFill>
                <a:srgbClr val="B3B3B3"/>
              </a:solidFill>
              <a:prstDash val="solid"/>
            </a:ln>
          </c:spPr>
        </c:majorGridlines>
        <c:numFmt formatCode="0%" sourceLinked="0"/>
        <c:majorTickMark val="out"/>
        <c:minorTickMark val="none"/>
        <c:tickLblPos val="nextTo"/>
        <c:spPr>
          <a:ln>
            <a:solidFill>
              <a:srgbClr val="B3B3B3"/>
            </a:solidFill>
            <a:prstDash val="solid"/>
          </a:ln>
        </c:spPr>
        <c:txPr>
          <a:bodyPr/>
          <a:lstStyle/>
          <a:p>
            <a:pPr>
              <a:defRPr sz="1000" b="0" strike="noStrike" spc="-1">
                <a:latin typeface="Arial"/>
              </a:defRPr>
            </a:pPr>
            <a:endParaRPr lang="pt-PT"/>
          </a:p>
        </c:txPr>
        <c:crossAx val="28005530"/>
        <c:crosses val="autoZero"/>
        <c:crossBetween val="between"/>
      </c:valAx>
    </c:plotArea>
    <c:legend>
      <c:legendPos val="r"/>
      <c:overlay val="0"/>
      <c:spPr>
        <a:noFill/>
        <a:ln>
          <a:noFill/>
          <a:prstDash val="solid"/>
        </a:ln>
      </c:spPr>
      <c:txPr>
        <a:bodyPr/>
        <a:lstStyle/>
        <a:p>
          <a:pPr>
            <a:defRPr sz="1000" b="0" strike="noStrike" spc="-1">
              <a:latin typeface="Arial"/>
            </a:defRPr>
          </a:pPr>
          <a:endParaRPr lang="pt-PT"/>
        </a:p>
      </c:txPr>
    </c:legend>
    <c:plotVisOnly val="1"/>
    <c:dispBlanksAs val="gap"/>
    <c:showDLblsOverMax val="1"/>
  </c:chart>
  <c:spPr>
    <a:solidFill>
      <a:srgbClr val="FFFFFF"/>
    </a:solidFill>
    <a:ln w="9360">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38880</xdr:colOff>
      <xdr:row>24</xdr:row>
      <xdr:rowOff>10440</xdr:rowOff>
    </xdr:from>
    <xdr:to>
      <xdr:col>12</xdr:col>
      <xdr:colOff>745125</xdr:colOff>
      <xdr:row>47</xdr:row>
      <xdr:rowOff>56880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baeldung.com/jackson-vs-gson"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auth0.com/docs/manage-users/cookies" TargetMode="External"/><Relationship Id="rId2" Type="http://schemas.openxmlformats.org/officeDocument/2006/relationships/hyperlink" Target="https://auth0.com/docs/manage-users/cookies/samesite-cookie-attribute-changes" TargetMode="External"/><Relationship Id="rId1" Type="http://schemas.openxmlformats.org/officeDocument/2006/relationships/hyperlink" Target="https://auth0.com/docs/secure/security-guidance/data-security/token-storage" TargetMode="External"/><Relationship Id="rId5" Type="http://schemas.openxmlformats.org/officeDocument/2006/relationships/hyperlink" Target="https://auth0.com/docs/secure/tokens/json-web-tokens/json-web-token-structure" TargetMode="External"/><Relationship Id="rId4" Type="http://schemas.openxmlformats.org/officeDocument/2006/relationships/hyperlink" Target="https://auth0.com/docs/secure/security-guidance/data-security/token-storage"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auth0.com/docs/secure/attack-protection" TargetMode="External"/><Relationship Id="rId2" Type="http://schemas.openxmlformats.org/officeDocument/2006/relationships/hyperlink" Target="https://auth0.com/docs/authenticate/database-connections/password-options" TargetMode="External"/><Relationship Id="rId1" Type="http://schemas.openxmlformats.org/officeDocument/2006/relationships/hyperlink" Target="https://auth0.com/docs/secure/attack-protection" TargetMode="External"/><Relationship Id="rId6" Type="http://schemas.openxmlformats.org/officeDocument/2006/relationships/hyperlink" Target="https://auth0.com/docs/secure/tokens/json-web-tokens/validate-json-web-tokens" TargetMode="External"/><Relationship Id="rId5" Type="http://schemas.openxmlformats.org/officeDocument/2006/relationships/hyperlink" Target="https://auth0.com/docs/secure/tokens/json-web-tokens/json-web-key-sets" TargetMode="External"/><Relationship Id="rId4" Type="http://schemas.openxmlformats.org/officeDocument/2006/relationships/hyperlink" Target="http://auth0.com/docs/authenticate"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auth0.com/docs/get-started/authentication-and-authorization-flow/authorization-code-flow" TargetMode="External"/><Relationship Id="rId1" Type="http://schemas.openxmlformats.org/officeDocument/2006/relationships/hyperlink" Target="https://auth0.com/docs/get-started/authentication-and-authorization-flow/authorization-code-flo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topLeftCell="A19" zoomScale="90" zoomScaleNormal="75" workbookViewId="0">
      <selection activeCell="E4" sqref="E4"/>
    </sheetView>
  </sheetViews>
  <sheetFormatPr defaultColWidth="8.5546875" defaultRowHeight="14.4" x14ac:dyDescent="0.3"/>
  <cols>
    <col min="1" max="1" width="34" customWidth="1"/>
    <col min="2" max="13" width="11" customWidth="1"/>
  </cols>
  <sheetData>
    <row r="1" spans="1:16" ht="36" customHeight="1" x14ac:dyDescent="0.3">
      <c r="A1" s="32" t="s">
        <v>0</v>
      </c>
      <c r="B1" s="33"/>
      <c r="C1" s="33"/>
      <c r="D1" s="33"/>
      <c r="E1" s="33"/>
      <c r="F1" s="33"/>
      <c r="G1" s="33"/>
      <c r="H1" s="33"/>
      <c r="I1" s="33"/>
      <c r="J1" s="33"/>
      <c r="K1" s="33"/>
      <c r="L1" s="33"/>
      <c r="M1" s="33"/>
      <c r="N1" s="33"/>
      <c r="O1" s="33"/>
      <c r="P1" s="33"/>
    </row>
    <row r="2" spans="1:16" ht="19.95" customHeight="1" x14ac:dyDescent="0.3">
      <c r="A2" s="35"/>
      <c r="B2" s="33"/>
      <c r="C2" s="33"/>
      <c r="D2" s="33"/>
      <c r="E2" s="33"/>
      <c r="F2" s="33"/>
      <c r="G2" s="33"/>
      <c r="H2" s="33"/>
      <c r="I2" s="33"/>
      <c r="J2" s="33"/>
      <c r="K2" s="33"/>
      <c r="L2" s="33"/>
      <c r="M2" s="33"/>
      <c r="N2" s="33"/>
      <c r="O2" s="33"/>
      <c r="P2" s="33"/>
    </row>
    <row r="3" spans="1:16" ht="18" customHeight="1" x14ac:dyDescent="0.3">
      <c r="A3" s="34"/>
      <c r="B3" s="33"/>
      <c r="C3" s="1"/>
      <c r="E3" s="1"/>
      <c r="G3" s="1"/>
      <c r="I3" s="1"/>
      <c r="K3" s="1"/>
      <c r="M3" s="1"/>
      <c r="O3" s="1"/>
    </row>
    <row r="5" spans="1:16" ht="31.95" customHeight="1" x14ac:dyDescent="0.3">
      <c r="A5" s="2" t="s">
        <v>1</v>
      </c>
      <c r="B5" s="2" t="s">
        <v>2</v>
      </c>
      <c r="C5" s="2" t="s">
        <v>3</v>
      </c>
      <c r="D5" s="2" t="s">
        <v>4</v>
      </c>
      <c r="E5" s="2" t="s">
        <v>5</v>
      </c>
      <c r="F5" s="2" t="s">
        <v>6</v>
      </c>
      <c r="G5" s="2" t="s">
        <v>7</v>
      </c>
      <c r="H5" s="2" t="s">
        <v>8</v>
      </c>
      <c r="I5" s="2" t="s">
        <v>9</v>
      </c>
      <c r="J5" s="2" t="s">
        <v>10</v>
      </c>
      <c r="K5" s="2" t="s">
        <v>11</v>
      </c>
      <c r="L5" s="2" t="s">
        <v>12</v>
      </c>
      <c r="M5" s="2" t="s">
        <v>13</v>
      </c>
    </row>
    <row r="6" spans="1:16" ht="18" customHeight="1" x14ac:dyDescent="0.3">
      <c r="A6" s="3" t="s">
        <v>14</v>
      </c>
      <c r="B6" s="4">
        <v>30</v>
      </c>
      <c r="C6" s="4">
        <v>8</v>
      </c>
      <c r="D6" s="4">
        <f>COUNTIFS('V1 - Encoding and Sanitization'!$F$2:$F$36,"Compliant",'V1 - Encoding and Sanitization'!$E$2:$E$36,1)</f>
        <v>5</v>
      </c>
      <c r="E6" s="5">
        <f t="shared" ref="E6:E20" si="0">IF(C6=0,"",D6/C6)</f>
        <v>0.625</v>
      </c>
      <c r="F6" s="4">
        <v>19</v>
      </c>
      <c r="G6" s="4">
        <f>COUNTIFS('V1 - Encoding and Sanitization'!$F$2:$F$36,"Compliant",'V1 - Encoding and Sanitization'!$E$2:$E$36,2)</f>
        <v>7</v>
      </c>
      <c r="H6" s="5">
        <f t="shared" ref="H6:H22" si="1">IF(F6=0,"",G6/F6)</f>
        <v>0.36842105263157893</v>
      </c>
      <c r="I6" s="4">
        <v>3</v>
      </c>
      <c r="J6" s="4">
        <f>COUNTIFS('V1 - Encoding and Sanitization'!$F$2:$F$36,"Compliant",'V1 - Encoding and Sanitization'!$E$2:$E$36,3)</f>
        <v>2</v>
      </c>
      <c r="K6" s="5">
        <f t="shared" ref="K6:K13" si="2">IF(I6=0,"",J6/I6)</f>
        <v>0.66666666666666663</v>
      </c>
      <c r="L6" s="4">
        <f>COUNTIF('V1 - Encoding and Sanitization'!$F$2:$F$36,"Compliant")</f>
        <v>14</v>
      </c>
      <c r="M6" s="5">
        <f t="shared" ref="M6:M22" si="3">IF(B6=0,"",L6/B6)</f>
        <v>0.46666666666666667</v>
      </c>
    </row>
    <row r="7" spans="1:16" ht="18" customHeight="1" x14ac:dyDescent="0.3">
      <c r="A7" s="6" t="s">
        <v>15</v>
      </c>
      <c r="B7" s="7">
        <v>13</v>
      </c>
      <c r="C7" s="7">
        <v>4</v>
      </c>
      <c r="D7" s="7">
        <f>COUNTIFS('V2 - Validation and Business Lo'!$F$2:$F$18,"Compliant",'V2 - Validation and Business Lo'!$E$2:$E$18,1)</f>
        <v>4</v>
      </c>
      <c r="E7" s="8">
        <f t="shared" si="0"/>
        <v>1</v>
      </c>
      <c r="F7" s="7">
        <v>7</v>
      </c>
      <c r="G7" s="7">
        <f>COUNTIFS('V2 - Validation and Business Lo'!$F$2:$F$18,"Compliant",'V2 - Validation and Business Lo'!$E$2:$E$18,2)</f>
        <v>6</v>
      </c>
      <c r="H7" s="8">
        <f t="shared" si="1"/>
        <v>0.8571428571428571</v>
      </c>
      <c r="I7" s="7">
        <v>2</v>
      </c>
      <c r="J7" s="7">
        <f>COUNTIFS('V2 - Validation and Business Lo'!$F$2:$F$18,"Compliant",'V2 - Validation and Business Lo'!$E$2:$E$18,3)</f>
        <v>1</v>
      </c>
      <c r="K7" s="8">
        <f t="shared" si="2"/>
        <v>0.5</v>
      </c>
      <c r="L7" s="7">
        <f>COUNTIF('V2 - Validation and Business Lo'!$F$2:$F$18,"Compliant")</f>
        <v>11</v>
      </c>
      <c r="M7" s="8">
        <f t="shared" si="3"/>
        <v>0.84615384615384615</v>
      </c>
    </row>
    <row r="8" spans="1:16" ht="18" customHeight="1" x14ac:dyDescent="0.3">
      <c r="A8" s="3" t="s">
        <v>16</v>
      </c>
      <c r="B8" s="4">
        <v>31</v>
      </c>
      <c r="C8" s="4">
        <v>8</v>
      </c>
      <c r="D8" s="4">
        <f>COUNTIFS('V3 - Web Frontend Security'!$F$2:$F$39,"Compliant",'V3 - Web Frontend Security'!$E$2:$E$39,1)</f>
        <v>5</v>
      </c>
      <c r="E8" s="5">
        <f t="shared" si="0"/>
        <v>0.625</v>
      </c>
      <c r="F8" s="4">
        <v>11</v>
      </c>
      <c r="G8" s="4">
        <f>COUNTIFS('V3 - Web Frontend Security'!$F$2:$F$39,"Compliant",'V3 - Web Frontend Security'!$E$2:$E$39,2)</f>
        <v>4</v>
      </c>
      <c r="H8" s="5">
        <f t="shared" si="1"/>
        <v>0.36363636363636365</v>
      </c>
      <c r="I8" s="4">
        <v>12</v>
      </c>
      <c r="J8" s="4">
        <f>COUNTIFS('V3 - Web Frontend Security'!$F$2:$F$39,"Compliant",'V3 - Web Frontend Security'!$E$2:$E$39,3)</f>
        <v>1</v>
      </c>
      <c r="K8" s="5">
        <f t="shared" si="2"/>
        <v>8.3333333333333329E-2</v>
      </c>
      <c r="L8" s="4">
        <f>COUNTIF('V3 - Web Frontend Security'!$F$2:$F$39,"Compliant")</f>
        <v>10</v>
      </c>
      <c r="M8" s="5">
        <f t="shared" si="3"/>
        <v>0.32258064516129031</v>
      </c>
    </row>
    <row r="9" spans="1:16" ht="18" customHeight="1" x14ac:dyDescent="0.3">
      <c r="A9" s="6" t="s">
        <v>17</v>
      </c>
      <c r="B9" s="7">
        <v>16</v>
      </c>
      <c r="C9" s="7">
        <v>2</v>
      </c>
      <c r="D9" s="7">
        <f>COUNTIFS('V4 - API and Web Service'!$F$2:$F$21,"Compliant",'V4 - API and Web Service'!$E$2:$E$21,1)</f>
        <v>1</v>
      </c>
      <c r="E9" s="8">
        <f t="shared" si="0"/>
        <v>0.5</v>
      </c>
      <c r="F9" s="7">
        <v>8</v>
      </c>
      <c r="G9" s="7">
        <f>COUNTIFS('V4 - API and Web Service'!$F$2:$F$21,"Compliant",'V4 - API and Web Service'!$E$2:$E$21,2)</f>
        <v>2</v>
      </c>
      <c r="H9" s="8">
        <f t="shared" si="1"/>
        <v>0.25</v>
      </c>
      <c r="I9" s="7">
        <v>6</v>
      </c>
      <c r="J9" s="7">
        <f>COUNTIFS('V4 - API and Web Service'!$F$2:$F$21,"Compliant",'V4 - API and Web Service'!$E$2:$E$21,3)</f>
        <v>5</v>
      </c>
      <c r="K9" s="8">
        <f t="shared" si="2"/>
        <v>0.83333333333333337</v>
      </c>
      <c r="L9" s="7">
        <f>COUNTIF('V4 - API and Web Service'!$F$2:$F$21,"Compliant")</f>
        <v>8</v>
      </c>
      <c r="M9" s="8">
        <f t="shared" si="3"/>
        <v>0.5</v>
      </c>
    </row>
    <row r="10" spans="1:16" ht="18" customHeight="1" x14ac:dyDescent="0.3">
      <c r="A10" s="3" t="s">
        <v>18</v>
      </c>
      <c r="B10" s="4">
        <v>13</v>
      </c>
      <c r="C10" s="4">
        <v>4</v>
      </c>
      <c r="D10" s="4">
        <f>COUNTIFS('V5 - File Handling'!$F$2:$F$18,"Compliant",'V5 - File Handling'!$E$2:$E$18,1)</f>
        <v>1</v>
      </c>
      <c r="E10" s="5">
        <f t="shared" si="0"/>
        <v>0.25</v>
      </c>
      <c r="F10" s="4">
        <v>5</v>
      </c>
      <c r="G10" s="4">
        <f>COUNTIFS('V5 - File Handling'!$F$2:$F$18,"Compliant",'V5 - File Handling'!$E$2:$E$18,2)</f>
        <v>0</v>
      </c>
      <c r="H10" s="5">
        <f t="shared" si="1"/>
        <v>0</v>
      </c>
      <c r="I10" s="4">
        <v>4</v>
      </c>
      <c r="J10" s="4">
        <f>COUNTIFS('V5 - File Handling'!$F$2:$F$18,"Compliant",'V5 - File Handling'!$E$2:$E$18,3)</f>
        <v>0</v>
      </c>
      <c r="K10" s="5">
        <f t="shared" si="2"/>
        <v>0</v>
      </c>
      <c r="L10" s="4">
        <f>COUNTIF('V5 - File Handling'!$F$2:$F$18,"Compliant")</f>
        <v>1</v>
      </c>
      <c r="M10" s="5">
        <f t="shared" si="3"/>
        <v>7.6923076923076927E-2</v>
      </c>
    </row>
    <row r="11" spans="1:16" ht="18" customHeight="1" x14ac:dyDescent="0.3">
      <c r="A11" s="6" t="s">
        <v>19</v>
      </c>
      <c r="B11" s="7">
        <v>47</v>
      </c>
      <c r="C11" s="7">
        <v>13</v>
      </c>
      <c r="D11" s="7">
        <f>COUNTIFS('V6 - Authentication'!$F$2:$F$56,"Compliant",'V6 - Authentication'!$E$2:$E$56,1)</f>
        <v>3</v>
      </c>
      <c r="E11" s="8">
        <f t="shared" si="0"/>
        <v>0.23076923076923078</v>
      </c>
      <c r="F11" s="7">
        <v>22</v>
      </c>
      <c r="G11" s="7">
        <f>COUNTIFS('V6 - Authentication'!$F$2:$F$56,"Compliant",'V6 - Authentication'!$E$2:$E$56,2)</f>
        <v>2</v>
      </c>
      <c r="H11" s="8">
        <f t="shared" si="1"/>
        <v>9.0909090909090912E-2</v>
      </c>
      <c r="I11" s="7">
        <v>12</v>
      </c>
      <c r="J11" s="7">
        <f>COUNTIFS('V6 - Authentication'!$F$2:$F$56,"Compliant",'V6 - Authentication'!$E$2:$E$56,3)</f>
        <v>3</v>
      </c>
      <c r="K11" s="8">
        <f t="shared" si="2"/>
        <v>0.25</v>
      </c>
      <c r="L11" s="7">
        <f>COUNTIF('V6 - Authentication'!$F$2:$F$56,"Compliant")</f>
        <v>8</v>
      </c>
      <c r="M11" s="8">
        <f t="shared" si="3"/>
        <v>0.1702127659574468</v>
      </c>
    </row>
    <row r="12" spans="1:16" ht="18" customHeight="1" x14ac:dyDescent="0.3">
      <c r="A12" s="3" t="s">
        <v>20</v>
      </c>
      <c r="B12" s="4">
        <v>19</v>
      </c>
      <c r="C12" s="4">
        <v>6</v>
      </c>
      <c r="D12" s="4">
        <f>COUNTIFS('V7 - Session Management'!$F$2:$F$26,"Compliant",'V7 - Session Management'!$E$2:$E$26,1)</f>
        <v>4</v>
      </c>
      <c r="E12" s="5">
        <f t="shared" si="0"/>
        <v>0.66666666666666663</v>
      </c>
      <c r="F12" s="4">
        <v>12</v>
      </c>
      <c r="G12" s="4">
        <f>COUNTIFS('V7 - Session Management'!$F$2:$F$26,"Compliant",'V7 - Session Management'!$E$2:$E$26,2)</f>
        <v>7</v>
      </c>
      <c r="H12" s="5">
        <f t="shared" si="1"/>
        <v>0.58333333333333337</v>
      </c>
      <c r="I12" s="4">
        <v>1</v>
      </c>
      <c r="J12" s="4">
        <f>COUNTIFS('V7 - Session Management'!$F$2:$F$26,"Compliant",'V7 - Session Management'!$E$2:$E$26,3)</f>
        <v>0</v>
      </c>
      <c r="K12" s="5">
        <f t="shared" si="2"/>
        <v>0</v>
      </c>
      <c r="L12" s="4">
        <f>COUNTIF('V7 - Session Management'!$F$2:$F$26,"Compliant")</f>
        <v>11</v>
      </c>
      <c r="M12" s="5">
        <f t="shared" si="3"/>
        <v>0.57894736842105265</v>
      </c>
    </row>
    <row r="13" spans="1:16" ht="18" customHeight="1" x14ac:dyDescent="0.3">
      <c r="A13" s="6" t="s">
        <v>21</v>
      </c>
      <c r="B13" s="7">
        <v>13</v>
      </c>
      <c r="C13" s="7">
        <v>4</v>
      </c>
      <c r="D13" s="7">
        <f>COUNTIFS('V8 - Authorization'!$F$2:$F$18,"Compliant",'V8 - Authorization'!$E$2:$E$18,1)</f>
        <v>4</v>
      </c>
      <c r="E13" s="8">
        <f t="shared" si="0"/>
        <v>1</v>
      </c>
      <c r="F13" s="7">
        <v>3</v>
      </c>
      <c r="G13" s="7">
        <f>COUNTIFS('V8 - Authorization'!$F$2:$F$18,"Compliant",'V8 - Authorization'!$E$2:$E$18,2)</f>
        <v>2</v>
      </c>
      <c r="H13" s="8">
        <f t="shared" si="1"/>
        <v>0.66666666666666663</v>
      </c>
      <c r="I13" s="7">
        <v>6</v>
      </c>
      <c r="J13" s="7">
        <f>COUNTIFS('V8 - Authorization'!$F$2:$F$18,"Compliant",'V8 - Authorization'!$E$2:$E$18,3)</f>
        <v>1</v>
      </c>
      <c r="K13" s="8">
        <f t="shared" si="2"/>
        <v>0.16666666666666666</v>
      </c>
      <c r="L13" s="7">
        <f>COUNTIF('V8 - Authorization'!$F$2:$F$18,"Compliant")</f>
        <v>7</v>
      </c>
      <c r="M13" s="8">
        <f t="shared" si="3"/>
        <v>0.53846153846153844</v>
      </c>
    </row>
    <row r="14" spans="1:16" ht="18" customHeight="1" x14ac:dyDescent="0.3">
      <c r="A14" s="3" t="s">
        <v>22</v>
      </c>
      <c r="B14" s="4">
        <v>7</v>
      </c>
      <c r="C14" s="4">
        <v>4</v>
      </c>
      <c r="D14" s="4">
        <f>COUNTIFS('V9 - Self-contained Tokens'!$F$2:$F$10,"Compliant",'V9 - Self-contained Tokens'!$E$2:$E$10,1)</f>
        <v>4</v>
      </c>
      <c r="E14" s="5">
        <f t="shared" si="0"/>
        <v>1</v>
      </c>
      <c r="F14" s="4">
        <v>3</v>
      </c>
      <c r="G14" s="4">
        <f>COUNTIFS('V9 - Self-contained Tokens'!$F$2:$F$10,"Compliant",'V9 - Self-contained Tokens'!$E$2:$E$10,2)</f>
        <v>3</v>
      </c>
      <c r="H14" s="5">
        <f t="shared" si="1"/>
        <v>1</v>
      </c>
      <c r="I14" s="4">
        <v>0</v>
      </c>
      <c r="J14" s="4" t="s">
        <v>23</v>
      </c>
      <c r="K14" s="4" t="s">
        <v>23</v>
      </c>
      <c r="L14" s="4">
        <f>COUNTIF('V9 - Self-contained Tokens'!$F$2:$F$10,"Compliant")</f>
        <v>7</v>
      </c>
      <c r="M14" s="5">
        <f t="shared" si="3"/>
        <v>1</v>
      </c>
    </row>
    <row r="15" spans="1:16" ht="18" customHeight="1" x14ac:dyDescent="0.3">
      <c r="A15" s="6" t="s">
        <v>24</v>
      </c>
      <c r="B15" s="7">
        <v>36</v>
      </c>
      <c r="C15" s="7">
        <v>5</v>
      </c>
      <c r="D15" s="7">
        <f>COUNTIFS('V10 - OAuth and OIDC'!$F$2:$F$44,"Compliant",'V10 - OAuth and OIDC'!$E$2:$E$44,1)</f>
        <v>0</v>
      </c>
      <c r="E15" s="8">
        <f t="shared" si="0"/>
        <v>0</v>
      </c>
      <c r="F15" s="7">
        <v>24</v>
      </c>
      <c r="G15" s="7">
        <f>COUNTIFS('V10 - OAuth and OIDC'!$F$2:$F$44,"Compliant",'V10 - OAuth and OIDC'!$E$2:$E$44,2)</f>
        <v>5</v>
      </c>
      <c r="H15" s="8">
        <f t="shared" si="1"/>
        <v>0.20833333333333334</v>
      </c>
      <c r="I15" s="7">
        <v>7</v>
      </c>
      <c r="J15" s="7">
        <f>COUNTIFS('V10 - OAuth and OIDC'!$F$2:$F$44,"Compliant",'V10 - OAuth and OIDC'!$E$2:$E$44,3)</f>
        <v>0</v>
      </c>
      <c r="K15" s="8">
        <f t="shared" ref="K15:K22" si="4">IF(I15=0,"",J15/I15)</f>
        <v>0</v>
      </c>
      <c r="L15" s="7">
        <f>COUNTIF('V10 - OAuth and OIDC'!$F$2:$F$44,"Compliant")</f>
        <v>5</v>
      </c>
      <c r="M15" s="8">
        <f t="shared" si="3"/>
        <v>0.1388888888888889</v>
      </c>
    </row>
    <row r="16" spans="1:16" ht="18" customHeight="1" x14ac:dyDescent="0.3">
      <c r="A16" s="3" t="s">
        <v>25</v>
      </c>
      <c r="B16" s="4">
        <v>24</v>
      </c>
      <c r="C16" s="4">
        <v>3</v>
      </c>
      <c r="D16" s="4">
        <f>COUNTIFS('V11 - Cryptography'!$F$2:$F$32,"Compliant",'V11 - Cryptography'!$E$2:$E$32,1)</f>
        <v>1</v>
      </c>
      <c r="E16" s="5">
        <f t="shared" si="0"/>
        <v>0.33333333333333331</v>
      </c>
      <c r="F16" s="4">
        <v>11</v>
      </c>
      <c r="G16" s="4">
        <f>COUNTIFS('V11 - Cryptography'!$F$2:$F$32,"Compliant",'V11 - Cryptography'!$E$2:$E$32,2)</f>
        <v>8</v>
      </c>
      <c r="H16" s="5">
        <f t="shared" si="1"/>
        <v>0.72727272727272729</v>
      </c>
      <c r="I16" s="4">
        <v>10</v>
      </c>
      <c r="J16" s="4">
        <f>COUNTIFS('V11 - Cryptography'!$F$2:$F$32,"Compliant",'V11 - Cryptography'!$E$2:$E$32,3)</f>
        <v>3</v>
      </c>
      <c r="K16" s="5">
        <f t="shared" si="4"/>
        <v>0.3</v>
      </c>
      <c r="L16" s="4">
        <f>COUNTIF('V11 - Cryptography'!$F$2:$F$32,"Compliant")</f>
        <v>12</v>
      </c>
      <c r="M16" s="5">
        <f t="shared" si="3"/>
        <v>0.5</v>
      </c>
    </row>
    <row r="17" spans="1:13" ht="18" customHeight="1" x14ac:dyDescent="0.3">
      <c r="A17" s="6" t="s">
        <v>26</v>
      </c>
      <c r="B17" s="7">
        <v>12</v>
      </c>
      <c r="C17" s="7">
        <v>3</v>
      </c>
      <c r="D17" s="7">
        <f>COUNTIFS('V12 - Secure Communication'!$F$2:$F$16,"Compliant",'V12 - Secure Communication'!$E$2:$E$16,1)</f>
        <v>2</v>
      </c>
      <c r="E17" s="8">
        <f t="shared" si="0"/>
        <v>0.66666666666666663</v>
      </c>
      <c r="F17" s="7">
        <v>6</v>
      </c>
      <c r="G17" s="7">
        <f>COUNTIFS('V12 - Secure Communication'!$F$2:$F$16,"Compliant",'V12 - Secure Communication'!$E$2:$E$16,2)</f>
        <v>2</v>
      </c>
      <c r="H17" s="8">
        <f t="shared" si="1"/>
        <v>0.33333333333333331</v>
      </c>
      <c r="I17" s="7">
        <v>3</v>
      </c>
      <c r="J17" s="7">
        <f>COUNTIFS('V12 - Secure Communication'!$F$2:$F$16,"Compliant",'V12 - Secure Communication'!$E$2:$E$16,3)</f>
        <v>0</v>
      </c>
      <c r="K17" s="8">
        <f t="shared" si="4"/>
        <v>0</v>
      </c>
      <c r="L17" s="7">
        <f>COUNTIF('V12 - Secure Communication'!$F$2:$F$16,"Compliant")</f>
        <v>4</v>
      </c>
      <c r="M17" s="8">
        <f t="shared" si="3"/>
        <v>0.33333333333333331</v>
      </c>
    </row>
    <row r="18" spans="1:13" ht="18" customHeight="1" x14ac:dyDescent="0.3">
      <c r="A18" s="3" t="s">
        <v>27</v>
      </c>
      <c r="B18" s="4">
        <v>21</v>
      </c>
      <c r="C18" s="4">
        <v>1</v>
      </c>
      <c r="D18" s="4">
        <f>COUNTIFS('V13 - Configuration'!$F$2:$F$26,"Compliant",'V13 - Configuration'!$E$2:$E$26,1)</f>
        <v>1</v>
      </c>
      <c r="E18" s="5">
        <f t="shared" si="0"/>
        <v>1</v>
      </c>
      <c r="F18" s="4">
        <v>12</v>
      </c>
      <c r="G18" s="4">
        <f>COUNTIFS('V13 - Configuration'!$F$2:$F$26,"Compliant",'V13 - Configuration'!$E$2:$E$26,2)</f>
        <v>9</v>
      </c>
      <c r="H18" s="5">
        <f t="shared" si="1"/>
        <v>0.75</v>
      </c>
      <c r="I18" s="4">
        <v>8</v>
      </c>
      <c r="J18" s="4">
        <f>COUNTIFS('V13 - Configuration'!$F$2:$F$26,"Compliant",'V13 - Configuration'!$E$2:$E$26,3)</f>
        <v>6</v>
      </c>
      <c r="K18" s="5">
        <f t="shared" si="4"/>
        <v>0.75</v>
      </c>
      <c r="L18" s="4">
        <f>COUNTIF('V13 - Configuration'!$F$2:$F$26,"Compliant")</f>
        <v>16</v>
      </c>
      <c r="M18" s="5">
        <f t="shared" si="3"/>
        <v>0.76190476190476186</v>
      </c>
    </row>
    <row r="19" spans="1:13" ht="18" customHeight="1" x14ac:dyDescent="0.3">
      <c r="A19" s="6" t="s">
        <v>28</v>
      </c>
      <c r="B19" s="7">
        <v>13</v>
      </c>
      <c r="C19" s="7">
        <v>2</v>
      </c>
      <c r="D19" s="7">
        <f>COUNTIFS('V14 - Data Protection'!$F$2:$F$17,"Compliant",'V14 - Data Protection'!$E$2:$E$17,1)</f>
        <v>1</v>
      </c>
      <c r="E19" s="8">
        <f t="shared" si="0"/>
        <v>0.5</v>
      </c>
      <c r="F19" s="7">
        <v>7</v>
      </c>
      <c r="G19" s="7">
        <f>COUNTIFS('V14 - Data Protection'!$F$2:$F$17,"Compliant",'V14 - Data Protection'!$E$2:$E$17,2)</f>
        <v>4</v>
      </c>
      <c r="H19" s="8">
        <f t="shared" si="1"/>
        <v>0.5714285714285714</v>
      </c>
      <c r="I19" s="7">
        <v>4</v>
      </c>
      <c r="J19" s="7">
        <f>COUNTIFS('V14 - Data Protection'!$F$2:$F$17,"Compliant",'V14 - Data Protection'!$E$2:$E$17,3)</f>
        <v>0</v>
      </c>
      <c r="K19" s="8">
        <f t="shared" si="4"/>
        <v>0</v>
      </c>
      <c r="L19" s="7">
        <f>COUNTIF('V14 - Data Protection'!$F$2:$F$17,"Compliant")</f>
        <v>5</v>
      </c>
      <c r="M19" s="8">
        <f t="shared" si="3"/>
        <v>0.38461538461538464</v>
      </c>
    </row>
    <row r="20" spans="1:13" ht="18" customHeight="1" x14ac:dyDescent="0.3">
      <c r="A20" s="3" t="s">
        <v>29</v>
      </c>
      <c r="B20" s="4">
        <v>21</v>
      </c>
      <c r="C20" s="4">
        <v>3</v>
      </c>
      <c r="D20" s="4">
        <f>COUNTIFS('V15 - Secure Coding and Archite'!$F$2:$F$26,"Compliant",'V15 - Secure Coding and Archite'!$E$2:$E$26,1)</f>
        <v>3</v>
      </c>
      <c r="E20" s="5">
        <f t="shared" si="0"/>
        <v>1</v>
      </c>
      <c r="F20" s="4">
        <v>10</v>
      </c>
      <c r="G20" s="4">
        <f>COUNTIFS('V15 - Secure Coding and Archite'!$F$2:$F$26,"Compliant",'V15 - Secure Coding and Archite'!$E$2:$E$26,2)</f>
        <v>7</v>
      </c>
      <c r="H20" s="5">
        <f t="shared" si="1"/>
        <v>0.7</v>
      </c>
      <c r="I20" s="4">
        <v>8</v>
      </c>
      <c r="J20" s="4">
        <f>COUNTIFS('V15 - Secure Coding and Archite'!$F$2:$F$26,"Compliant",'V15 - Secure Coding and Archite'!$E$2:$E$26,3)</f>
        <v>3</v>
      </c>
      <c r="K20" s="5">
        <f t="shared" si="4"/>
        <v>0.375</v>
      </c>
      <c r="L20" s="4">
        <f>COUNTIF('V15 - Secure Coding and Archite'!$F$2:$F$26,"Compliant")</f>
        <v>13</v>
      </c>
      <c r="M20" s="5">
        <f t="shared" si="3"/>
        <v>0.61904761904761907</v>
      </c>
    </row>
    <row r="21" spans="1:13" ht="18" customHeight="1" x14ac:dyDescent="0.3">
      <c r="A21" s="6" t="s">
        <v>30</v>
      </c>
      <c r="B21" s="7">
        <v>17</v>
      </c>
      <c r="C21" s="7">
        <v>0</v>
      </c>
      <c r="D21" s="7" t="s">
        <v>23</v>
      </c>
      <c r="E21" s="7" t="s">
        <v>23</v>
      </c>
      <c r="F21" s="7">
        <v>16</v>
      </c>
      <c r="G21" s="7">
        <f>COUNTIFS('V16 - Security Logging and Erro'!$F$2:$F$23,"Compliant",'V16 - Security Logging and Erro'!$E$2:$E$23,2)</f>
        <v>11</v>
      </c>
      <c r="H21" s="8">
        <f t="shared" si="1"/>
        <v>0.6875</v>
      </c>
      <c r="I21" s="7">
        <v>1</v>
      </c>
      <c r="J21" s="7">
        <f>COUNTIFS('V16 - Security Logging and Erro'!$F$2:$F$23,"Compliant",'V16 - Security Logging and Erro'!$E$2:$E$23,3)</f>
        <v>1</v>
      </c>
      <c r="K21" s="8">
        <f t="shared" si="4"/>
        <v>1</v>
      </c>
      <c r="L21" s="7">
        <f>COUNTIF('V16 - Security Logging and Erro'!$F$2:$F$23,"Compliant")</f>
        <v>12</v>
      </c>
      <c r="M21" s="8">
        <f t="shared" si="3"/>
        <v>0.70588235294117652</v>
      </c>
    </row>
    <row r="22" spans="1:13" ht="18" customHeight="1" x14ac:dyDescent="0.3">
      <c r="A22" s="3" t="s">
        <v>31</v>
      </c>
      <c r="B22" s="4">
        <v>12</v>
      </c>
      <c r="C22" s="4">
        <v>0</v>
      </c>
      <c r="D22" s="4" t="s">
        <v>23</v>
      </c>
      <c r="E22" s="4" t="s">
        <v>23</v>
      </c>
      <c r="F22" s="4">
        <v>7</v>
      </c>
      <c r="G22" s="4">
        <f>COUNTIFS('V17 - WebRTC'!$F$2:$F$16,"Compliant",'V17 - WebRTC'!$E$2:$E$16,2)</f>
        <v>0</v>
      </c>
      <c r="H22" s="5">
        <f t="shared" si="1"/>
        <v>0</v>
      </c>
      <c r="I22" s="4">
        <v>5</v>
      </c>
      <c r="J22" s="4">
        <f>COUNTIFS('V17 - WebRTC'!$F$2:$F$16,"Compliant",'V17 - WebRTC'!$E$2:$E$16,3)</f>
        <v>0</v>
      </c>
      <c r="K22" s="5">
        <f t="shared" si="4"/>
        <v>0</v>
      </c>
      <c r="L22" s="4">
        <f>COUNTIF('V17 - WebRTC'!$F$2:$F$16,"Compliant")</f>
        <v>0</v>
      </c>
      <c r="M22" s="5">
        <f t="shared" si="3"/>
        <v>0</v>
      </c>
    </row>
    <row r="23" spans="1:13" ht="22.05" customHeight="1" x14ac:dyDescent="0.3">
      <c r="A23" s="9" t="s">
        <v>32</v>
      </c>
      <c r="B23" s="10">
        <f>SUM(B6:B22)</f>
        <v>345</v>
      </c>
      <c r="C23" s="10">
        <f>SUM(C6:C22)</f>
        <v>70</v>
      </c>
      <c r="D23" s="10">
        <f>SUM(D6:D22)</f>
        <v>39</v>
      </c>
      <c r="E23" s="11">
        <f>IFERROR(AVERAGE(E6:E22),"")</f>
        <v>0.62649572649572649</v>
      </c>
      <c r="F23" s="10">
        <f>SUM(F6:F22)</f>
        <v>183</v>
      </c>
      <c r="G23" s="10">
        <f>SUM(G6:G22)</f>
        <v>79</v>
      </c>
      <c r="H23" s="11">
        <f>IFERROR(AVERAGE(H6:H22),"")</f>
        <v>0.47988101939340333</v>
      </c>
      <c r="I23" s="10">
        <f>SUM(I6:I22)</f>
        <v>92</v>
      </c>
      <c r="J23" s="10">
        <f>SUM(J6:J22)</f>
        <v>26</v>
      </c>
      <c r="K23" s="11">
        <f>IFERROR(AVERAGE(K6:K22),"")</f>
        <v>0.30781249999999993</v>
      </c>
      <c r="L23" s="10">
        <f>SUM(L6:L22)</f>
        <v>144</v>
      </c>
      <c r="M23" s="11">
        <f>IFERROR(AVERAGE(M6:M22),"")</f>
        <v>0.46727166167506368</v>
      </c>
    </row>
  </sheetData>
  <mergeCells count="3">
    <mergeCell ref="A1:P1"/>
    <mergeCell ref="A3:B3"/>
    <mergeCell ref="A2:P2"/>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0555555555496" footer="0.51180555555555496"/>
  <pageSetup firstPageNumber="0"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topLeftCell="B1" zoomScale="120" zoomScaleNormal="120" workbookViewId="0">
      <pane ySplit="1" topLeftCell="A6" activePane="bottomLeft" state="frozen"/>
      <selection pane="bottomLeft" activeCell="D14" sqref="D14"/>
    </sheetView>
  </sheetViews>
  <sheetFormatPr defaultColWidth="8.5546875" defaultRowHeight="14.4" x14ac:dyDescent="0.3"/>
  <cols>
    <col min="1" max="1" width="12" customWidth="1"/>
    <col min="2" max="2" width="28" customWidth="1"/>
    <col min="3" max="3" width="12" customWidth="1"/>
    <col min="4" max="4" width="80.21875"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41</v>
      </c>
      <c r="B2" s="13" t="s">
        <v>42</v>
      </c>
      <c r="C2" s="13"/>
      <c r="D2" s="13"/>
      <c r="E2" s="13"/>
      <c r="F2" s="13"/>
      <c r="G2" s="13"/>
      <c r="H2" s="13"/>
    </row>
    <row r="3" spans="1:8" ht="29.4" customHeight="1" x14ac:dyDescent="0.3">
      <c r="A3" s="14" t="s">
        <v>41</v>
      </c>
      <c r="B3" s="14" t="s">
        <v>42</v>
      </c>
      <c r="C3" s="15" t="s">
        <v>43</v>
      </c>
      <c r="D3" s="16" t="s">
        <v>44</v>
      </c>
      <c r="E3" s="17">
        <v>2</v>
      </c>
      <c r="F3" s="18" t="s">
        <v>72</v>
      </c>
      <c r="G3" s="25" t="s">
        <v>1055</v>
      </c>
      <c r="H3" s="16" t="s">
        <v>1056</v>
      </c>
    </row>
    <row r="4" spans="1:8" ht="30.6" customHeight="1" x14ac:dyDescent="0.3">
      <c r="A4" s="19" t="s">
        <v>41</v>
      </c>
      <c r="B4" s="19" t="s">
        <v>42</v>
      </c>
      <c r="C4" s="20" t="s">
        <v>45</v>
      </c>
      <c r="D4" s="21" t="s">
        <v>46</v>
      </c>
      <c r="E4" s="17">
        <v>2</v>
      </c>
      <c r="F4" s="18" t="s">
        <v>72</v>
      </c>
      <c r="G4" s="21" t="s">
        <v>1057</v>
      </c>
      <c r="H4" s="24" t="s">
        <v>1058</v>
      </c>
    </row>
    <row r="5" spans="1:8" ht="18" customHeight="1" x14ac:dyDescent="0.3">
      <c r="A5" s="13" t="s">
        <v>47</v>
      </c>
      <c r="B5" s="13" t="s">
        <v>48</v>
      </c>
      <c r="C5" s="13"/>
      <c r="D5" s="13"/>
      <c r="E5" s="13"/>
      <c r="F5" s="13"/>
      <c r="G5" s="13"/>
      <c r="H5" s="13"/>
    </row>
    <row r="6" spans="1:8" ht="30" customHeight="1" x14ac:dyDescent="0.3">
      <c r="A6" s="14" t="s">
        <v>47</v>
      </c>
      <c r="B6" s="14" t="s">
        <v>48</v>
      </c>
      <c r="C6" s="15" t="s">
        <v>49</v>
      </c>
      <c r="D6" s="16" t="s">
        <v>50</v>
      </c>
      <c r="E6" s="22">
        <v>1</v>
      </c>
      <c r="F6" s="18" t="s">
        <v>72</v>
      </c>
      <c r="G6" s="25" t="s">
        <v>1059</v>
      </c>
      <c r="H6" s="16" t="s">
        <v>1061</v>
      </c>
    </row>
    <row r="7" spans="1:8" ht="30" customHeight="1" x14ac:dyDescent="0.3">
      <c r="A7" s="19" t="s">
        <v>47</v>
      </c>
      <c r="B7" s="19" t="s">
        <v>48</v>
      </c>
      <c r="C7" s="20" t="s">
        <v>51</v>
      </c>
      <c r="D7" s="21" t="s">
        <v>52</v>
      </c>
      <c r="E7" s="22">
        <v>1</v>
      </c>
      <c r="F7" s="18" t="s">
        <v>72</v>
      </c>
      <c r="G7" s="21" t="s">
        <v>1062</v>
      </c>
      <c r="H7" s="21" t="s">
        <v>1063</v>
      </c>
    </row>
    <row r="8" spans="1:8" ht="30" customHeight="1" x14ac:dyDescent="0.3">
      <c r="A8" s="14" t="s">
        <v>47</v>
      </c>
      <c r="B8" s="14" t="s">
        <v>48</v>
      </c>
      <c r="C8" s="15" t="s">
        <v>53</v>
      </c>
      <c r="D8" s="16" t="s">
        <v>54</v>
      </c>
      <c r="E8" s="22">
        <v>1</v>
      </c>
      <c r="F8" s="18" t="s">
        <v>72</v>
      </c>
      <c r="G8" s="16" t="s">
        <v>1064</v>
      </c>
      <c r="H8" s="25" t="s">
        <v>1060</v>
      </c>
    </row>
    <row r="9" spans="1:8" ht="30" customHeight="1" x14ac:dyDescent="0.3">
      <c r="A9" s="19" t="s">
        <v>47</v>
      </c>
      <c r="B9" s="19" t="s">
        <v>48</v>
      </c>
      <c r="C9" s="20" t="s">
        <v>55</v>
      </c>
      <c r="D9" s="21" t="s">
        <v>56</v>
      </c>
      <c r="E9" s="22">
        <v>1</v>
      </c>
      <c r="F9" s="18" t="s">
        <v>72</v>
      </c>
      <c r="G9" s="21" t="s">
        <v>1065</v>
      </c>
      <c r="H9" s="21" t="s">
        <v>1066</v>
      </c>
    </row>
    <row r="10" spans="1:8" ht="30" customHeight="1" x14ac:dyDescent="0.3">
      <c r="A10" s="14" t="s">
        <v>47</v>
      </c>
      <c r="B10" s="14" t="s">
        <v>48</v>
      </c>
      <c r="C10" s="15" t="s">
        <v>57</v>
      </c>
      <c r="D10" s="16" t="s">
        <v>58</v>
      </c>
      <c r="E10" s="22">
        <v>1</v>
      </c>
      <c r="F10" s="18" t="s">
        <v>62</v>
      </c>
      <c r="G10" s="16" t="s">
        <v>1021</v>
      </c>
      <c r="H10" s="16"/>
    </row>
    <row r="11" spans="1:8" ht="30" customHeight="1" x14ac:dyDescent="0.3">
      <c r="A11" s="19" t="s">
        <v>47</v>
      </c>
      <c r="B11" s="19" t="s">
        <v>48</v>
      </c>
      <c r="C11" s="20" t="s">
        <v>60</v>
      </c>
      <c r="D11" s="21" t="s">
        <v>61</v>
      </c>
      <c r="E11" s="17">
        <v>2</v>
      </c>
      <c r="F11" s="18" t="s">
        <v>62</v>
      </c>
      <c r="G11" s="21" t="s">
        <v>63</v>
      </c>
      <c r="H11" s="21"/>
    </row>
    <row r="12" spans="1:8" ht="30" customHeight="1" x14ac:dyDescent="0.3">
      <c r="A12" s="14" t="s">
        <v>47</v>
      </c>
      <c r="B12" s="14" t="s">
        <v>48</v>
      </c>
      <c r="C12" s="15" t="s">
        <v>64</v>
      </c>
      <c r="D12" s="16" t="s">
        <v>65</v>
      </c>
      <c r="E12" s="17">
        <v>2</v>
      </c>
      <c r="F12" s="18" t="s">
        <v>62</v>
      </c>
      <c r="G12" s="16" t="s">
        <v>66</v>
      </c>
      <c r="H12" s="16"/>
    </row>
    <row r="13" spans="1:8" ht="30" customHeight="1" x14ac:dyDescent="0.3">
      <c r="A13" s="19" t="s">
        <v>47</v>
      </c>
      <c r="B13" s="19" t="s">
        <v>48</v>
      </c>
      <c r="C13" s="20" t="s">
        <v>67</v>
      </c>
      <c r="D13" s="21" t="s">
        <v>68</v>
      </c>
      <c r="E13" s="17">
        <v>2</v>
      </c>
      <c r="F13" s="18" t="s">
        <v>62</v>
      </c>
      <c r="G13" s="21" t="s">
        <v>69</v>
      </c>
      <c r="H13" s="21"/>
    </row>
    <row r="14" spans="1:8" ht="30" customHeight="1" x14ac:dyDescent="0.3">
      <c r="A14" s="14" t="s">
        <v>47</v>
      </c>
      <c r="B14" s="14" t="s">
        <v>48</v>
      </c>
      <c r="C14" s="15" t="s">
        <v>70</v>
      </c>
      <c r="D14" s="30" t="s">
        <v>71</v>
      </c>
      <c r="E14" s="17">
        <v>2</v>
      </c>
      <c r="F14" s="18" t="s">
        <v>72</v>
      </c>
      <c r="G14" s="16" t="s">
        <v>1067</v>
      </c>
      <c r="H14" s="16" t="s">
        <v>1068</v>
      </c>
    </row>
    <row r="15" spans="1:8" ht="30" customHeight="1" x14ac:dyDescent="0.3">
      <c r="A15" s="19" t="s">
        <v>47</v>
      </c>
      <c r="B15" s="19" t="s">
        <v>48</v>
      </c>
      <c r="C15" s="20" t="s">
        <v>73</v>
      </c>
      <c r="D15" s="21" t="s">
        <v>74</v>
      </c>
      <c r="E15" s="23">
        <v>3</v>
      </c>
      <c r="F15" s="18" t="s">
        <v>62</v>
      </c>
      <c r="G15" s="21" t="s">
        <v>75</v>
      </c>
      <c r="H15" s="21"/>
    </row>
    <row r="16" spans="1:8" ht="18" customHeight="1" x14ac:dyDescent="0.3">
      <c r="A16" s="13" t="s">
        <v>76</v>
      </c>
      <c r="B16" s="13" t="s">
        <v>77</v>
      </c>
      <c r="C16" s="13"/>
      <c r="D16" s="13"/>
      <c r="E16" s="13"/>
      <c r="F16" s="13"/>
      <c r="G16" s="13"/>
      <c r="H16" s="13"/>
    </row>
    <row r="17" spans="1:8" ht="30" customHeight="1" x14ac:dyDescent="0.3">
      <c r="A17" s="14" t="s">
        <v>76</v>
      </c>
      <c r="B17" s="14" t="s">
        <v>77</v>
      </c>
      <c r="C17" s="15" t="s">
        <v>78</v>
      </c>
      <c r="D17" s="16" t="s">
        <v>79</v>
      </c>
      <c r="E17" s="22">
        <v>1</v>
      </c>
      <c r="F17" s="18" t="s">
        <v>62</v>
      </c>
      <c r="G17" s="16" t="s">
        <v>80</v>
      </c>
      <c r="H17" s="16"/>
    </row>
    <row r="18" spans="1:8" ht="30" customHeight="1" x14ac:dyDescent="0.3">
      <c r="A18" s="19" t="s">
        <v>76</v>
      </c>
      <c r="B18" s="19" t="s">
        <v>77</v>
      </c>
      <c r="C18" s="20" t="s">
        <v>81</v>
      </c>
      <c r="D18" s="21" t="s">
        <v>82</v>
      </c>
      <c r="E18" s="22">
        <v>1</v>
      </c>
      <c r="F18" s="18" t="s">
        <v>72</v>
      </c>
      <c r="G18" s="21" t="s">
        <v>1069</v>
      </c>
      <c r="H18" s="21" t="s">
        <v>1070</v>
      </c>
    </row>
    <row r="19" spans="1:8" ht="30" customHeight="1" x14ac:dyDescent="0.3">
      <c r="A19" s="14" t="s">
        <v>76</v>
      </c>
      <c r="B19" s="14" t="s">
        <v>77</v>
      </c>
      <c r="C19" s="15" t="s">
        <v>83</v>
      </c>
      <c r="D19" s="16" t="s">
        <v>84</v>
      </c>
      <c r="E19" s="17">
        <v>2</v>
      </c>
      <c r="F19" s="18" t="s">
        <v>72</v>
      </c>
      <c r="G19" s="16" t="s">
        <v>1071</v>
      </c>
      <c r="H19" s="16" t="s">
        <v>1072</v>
      </c>
    </row>
    <row r="20" spans="1:8" ht="30" customHeight="1" x14ac:dyDescent="0.3">
      <c r="A20" s="19" t="s">
        <v>76</v>
      </c>
      <c r="B20" s="19" t="s">
        <v>77</v>
      </c>
      <c r="C20" s="20" t="s">
        <v>85</v>
      </c>
      <c r="D20" s="21" t="s">
        <v>86</v>
      </c>
      <c r="E20" s="17">
        <v>2</v>
      </c>
      <c r="F20" s="18" t="s">
        <v>62</v>
      </c>
      <c r="G20" s="21" t="s">
        <v>87</v>
      </c>
      <c r="H20" s="21"/>
    </row>
    <row r="21" spans="1:8" ht="30" customHeight="1" x14ac:dyDescent="0.3">
      <c r="A21" s="14" t="s">
        <v>76</v>
      </c>
      <c r="B21" s="14" t="s">
        <v>77</v>
      </c>
      <c r="C21" s="15" t="s">
        <v>88</v>
      </c>
      <c r="D21" s="16" t="s">
        <v>89</v>
      </c>
      <c r="E21" s="17">
        <v>2</v>
      </c>
      <c r="F21" s="18" t="s">
        <v>62</v>
      </c>
      <c r="G21" s="16" t="s">
        <v>90</v>
      </c>
      <c r="H21" s="16"/>
    </row>
    <row r="22" spans="1:8" ht="30" customHeight="1" x14ac:dyDescent="0.3">
      <c r="A22" s="19" t="s">
        <v>76</v>
      </c>
      <c r="B22" s="19" t="s">
        <v>77</v>
      </c>
      <c r="C22" s="20" t="s">
        <v>91</v>
      </c>
      <c r="D22" s="21" t="s">
        <v>92</v>
      </c>
      <c r="E22" s="17">
        <v>2</v>
      </c>
      <c r="F22" s="18" t="s">
        <v>62</v>
      </c>
      <c r="G22" s="21" t="s">
        <v>1022</v>
      </c>
      <c r="H22" s="21"/>
    </row>
    <row r="23" spans="1:8" ht="30" customHeight="1" x14ac:dyDescent="0.3">
      <c r="A23" s="14" t="s">
        <v>76</v>
      </c>
      <c r="B23" s="14" t="s">
        <v>77</v>
      </c>
      <c r="C23" s="15" t="s">
        <v>93</v>
      </c>
      <c r="D23" s="16" t="s">
        <v>94</v>
      </c>
      <c r="E23" s="17">
        <v>2</v>
      </c>
      <c r="F23" s="18" t="s">
        <v>62</v>
      </c>
      <c r="G23" s="16" t="s">
        <v>95</v>
      </c>
      <c r="H23" s="16"/>
    </row>
    <row r="24" spans="1:8" ht="30" customHeight="1" x14ac:dyDescent="0.3">
      <c r="A24" s="19" t="s">
        <v>76</v>
      </c>
      <c r="B24" s="19" t="s">
        <v>77</v>
      </c>
      <c r="C24" s="20" t="s">
        <v>96</v>
      </c>
      <c r="D24" s="21" t="s">
        <v>97</v>
      </c>
      <c r="E24" s="17">
        <v>2</v>
      </c>
      <c r="F24" s="18" t="s">
        <v>62</v>
      </c>
      <c r="G24" s="21" t="s">
        <v>98</v>
      </c>
      <c r="H24" s="21"/>
    </row>
    <row r="25" spans="1:8" ht="30" customHeight="1" x14ac:dyDescent="0.3">
      <c r="A25" s="14" t="s">
        <v>76</v>
      </c>
      <c r="B25" s="14" t="s">
        <v>77</v>
      </c>
      <c r="C25" s="15" t="s">
        <v>99</v>
      </c>
      <c r="D25" s="16" t="s">
        <v>100</v>
      </c>
      <c r="E25" s="17">
        <v>2</v>
      </c>
      <c r="F25" s="18" t="s">
        <v>62</v>
      </c>
      <c r="G25" s="16" t="s">
        <v>101</v>
      </c>
      <c r="H25" s="16"/>
    </row>
    <row r="26" spans="1:8" ht="30" customHeight="1" x14ac:dyDescent="0.3">
      <c r="A26" s="19" t="s">
        <v>76</v>
      </c>
      <c r="B26" s="19" t="s">
        <v>77</v>
      </c>
      <c r="C26" s="20" t="s">
        <v>102</v>
      </c>
      <c r="D26" s="21" t="s">
        <v>103</v>
      </c>
      <c r="E26" s="17">
        <v>2</v>
      </c>
      <c r="F26" s="18" t="s">
        <v>72</v>
      </c>
      <c r="G26" s="21" t="s">
        <v>1073</v>
      </c>
      <c r="H26" s="21" t="s">
        <v>1074</v>
      </c>
    </row>
    <row r="27" spans="1:8" ht="30" customHeight="1" x14ac:dyDescent="0.3">
      <c r="A27" s="14" t="s">
        <v>76</v>
      </c>
      <c r="B27" s="14" t="s">
        <v>77</v>
      </c>
      <c r="C27" s="15" t="s">
        <v>104</v>
      </c>
      <c r="D27" s="16" t="s">
        <v>105</v>
      </c>
      <c r="E27" s="17">
        <v>2</v>
      </c>
      <c r="F27" s="18" t="s">
        <v>62</v>
      </c>
      <c r="G27" s="16" t="s">
        <v>106</v>
      </c>
      <c r="H27" s="16"/>
    </row>
    <row r="28" spans="1:8" ht="30" customHeight="1" x14ac:dyDescent="0.3">
      <c r="A28" s="19" t="s">
        <v>76</v>
      </c>
      <c r="B28" s="19" t="s">
        <v>77</v>
      </c>
      <c r="C28" s="20" t="s">
        <v>107</v>
      </c>
      <c r="D28" s="21" t="s">
        <v>108</v>
      </c>
      <c r="E28" s="23">
        <v>3</v>
      </c>
      <c r="F28" s="18" t="s">
        <v>72</v>
      </c>
      <c r="G28" s="21" t="s">
        <v>1075</v>
      </c>
      <c r="H28" s="21" t="s">
        <v>1076</v>
      </c>
    </row>
    <row r="29" spans="1:8" ht="18" customHeight="1" x14ac:dyDescent="0.3">
      <c r="A29" s="13" t="s">
        <v>109</v>
      </c>
      <c r="B29" s="13" t="s">
        <v>110</v>
      </c>
      <c r="C29" s="13"/>
      <c r="D29" s="13"/>
      <c r="E29" s="13"/>
      <c r="F29" s="13"/>
      <c r="G29" s="13"/>
      <c r="H29" s="13"/>
    </row>
    <row r="30" spans="1:8" ht="30" customHeight="1" x14ac:dyDescent="0.3">
      <c r="A30" s="14" t="s">
        <v>109</v>
      </c>
      <c r="B30" s="14" t="s">
        <v>110</v>
      </c>
      <c r="C30" s="15" t="s">
        <v>111</v>
      </c>
      <c r="D30" s="16" t="s">
        <v>112</v>
      </c>
      <c r="E30" s="17">
        <v>2</v>
      </c>
      <c r="F30" s="18" t="s">
        <v>62</v>
      </c>
      <c r="G30" s="16" t="s">
        <v>993</v>
      </c>
      <c r="H30" s="16"/>
    </row>
    <row r="31" spans="1:8" ht="30" customHeight="1" x14ac:dyDescent="0.3">
      <c r="A31" s="19" t="s">
        <v>109</v>
      </c>
      <c r="B31" s="19" t="s">
        <v>110</v>
      </c>
      <c r="C31" s="20" t="s">
        <v>113</v>
      </c>
      <c r="D31" s="21" t="s">
        <v>114</v>
      </c>
      <c r="E31" s="17">
        <v>2</v>
      </c>
      <c r="F31" s="18" t="s">
        <v>72</v>
      </c>
      <c r="G31" s="21" t="s">
        <v>1077</v>
      </c>
      <c r="H31" s="21" t="s">
        <v>1078</v>
      </c>
    </row>
    <row r="32" spans="1:8" ht="30" customHeight="1" x14ac:dyDescent="0.3">
      <c r="A32" s="14" t="s">
        <v>109</v>
      </c>
      <c r="B32" s="14" t="s">
        <v>110</v>
      </c>
      <c r="C32" s="15" t="s">
        <v>115</v>
      </c>
      <c r="D32" s="16" t="s">
        <v>116</v>
      </c>
      <c r="E32" s="17">
        <v>2</v>
      </c>
      <c r="F32" s="18" t="s">
        <v>62</v>
      </c>
      <c r="G32" s="16" t="s">
        <v>994</v>
      </c>
      <c r="H32" s="16"/>
    </row>
    <row r="33" spans="1:8" ht="18" customHeight="1" x14ac:dyDescent="0.3">
      <c r="A33" s="13" t="s">
        <v>117</v>
      </c>
      <c r="B33" s="13" t="s">
        <v>118</v>
      </c>
      <c r="C33" s="13"/>
      <c r="D33" s="13"/>
      <c r="E33" s="13"/>
      <c r="F33" s="13"/>
      <c r="G33" s="13"/>
      <c r="H33" s="13"/>
    </row>
    <row r="34" spans="1:8" ht="30" customHeight="1" x14ac:dyDescent="0.3">
      <c r="A34" s="14" t="s">
        <v>117</v>
      </c>
      <c r="B34" s="14" t="s">
        <v>118</v>
      </c>
      <c r="C34" s="15" t="s">
        <v>119</v>
      </c>
      <c r="D34" s="16" t="s">
        <v>120</v>
      </c>
      <c r="E34" s="22">
        <v>1</v>
      </c>
      <c r="F34" s="18" t="s">
        <v>62</v>
      </c>
      <c r="G34" s="16" t="s">
        <v>121</v>
      </c>
      <c r="H34" s="16"/>
    </row>
    <row r="35" spans="1:8" ht="30" customHeight="1" x14ac:dyDescent="0.3">
      <c r="A35" s="19" t="s">
        <v>117</v>
      </c>
      <c r="B35" s="19" t="s">
        <v>118</v>
      </c>
      <c r="C35" s="20" t="s">
        <v>122</v>
      </c>
      <c r="D35" s="21" t="s">
        <v>123</v>
      </c>
      <c r="E35" s="17">
        <v>2</v>
      </c>
      <c r="F35" s="18" t="s">
        <v>72</v>
      </c>
      <c r="G35" s="21" t="s">
        <v>1079</v>
      </c>
      <c r="H35" s="21" t="s">
        <v>1080</v>
      </c>
    </row>
    <row r="36" spans="1:8" ht="30" customHeight="1" x14ac:dyDescent="0.3">
      <c r="A36" s="14" t="s">
        <v>117</v>
      </c>
      <c r="B36" s="14" t="s">
        <v>118</v>
      </c>
      <c r="C36" s="15" t="s">
        <v>124</v>
      </c>
      <c r="D36" s="16" t="s">
        <v>125</v>
      </c>
      <c r="E36" s="23">
        <v>3</v>
      </c>
      <c r="F36" s="18" t="s">
        <v>72</v>
      </c>
      <c r="G36" s="16" t="s">
        <v>1081</v>
      </c>
      <c r="H36" s="16" t="s">
        <v>1082</v>
      </c>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hyperlinks>
    <hyperlink ref="H4" r:id="rId1" display="https://www.baeldung.com/jackson-vs-gson" xr:uid="{00000000-0004-0000-0100-000000000000}"/>
  </hyperlinks>
  <pageMargins left="0.75" right="0.75" top="1" bottom="1"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topLeftCell="B1" zoomScale="130" zoomScaleNormal="130" workbookViewId="0">
      <pane ySplit="1" topLeftCell="A7" activePane="bottomLeft" state="frozen"/>
      <selection pane="bottomLeft" activeCell="H19" sqref="H19"/>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126</v>
      </c>
      <c r="B2" s="13" t="s">
        <v>127</v>
      </c>
      <c r="C2" s="13"/>
      <c r="D2" s="13"/>
      <c r="E2" s="13"/>
      <c r="F2" s="13"/>
      <c r="G2" s="13"/>
      <c r="H2" s="13"/>
    </row>
    <row r="3" spans="1:8" ht="30" customHeight="1" x14ac:dyDescent="0.3">
      <c r="A3" s="14" t="s">
        <v>126</v>
      </c>
      <c r="B3" s="14" t="s">
        <v>127</v>
      </c>
      <c r="C3" s="15" t="s">
        <v>128</v>
      </c>
      <c r="D3" s="16" t="s">
        <v>129</v>
      </c>
      <c r="E3" s="22">
        <v>1</v>
      </c>
      <c r="F3" s="18" t="s">
        <v>72</v>
      </c>
      <c r="G3" s="16" t="s">
        <v>130</v>
      </c>
      <c r="H3" s="16" t="s">
        <v>59</v>
      </c>
    </row>
    <row r="4" spans="1:8" ht="30" customHeight="1" x14ac:dyDescent="0.3">
      <c r="A4" s="19" t="s">
        <v>126</v>
      </c>
      <c r="B4" s="19" t="s">
        <v>127</v>
      </c>
      <c r="C4" s="20" t="s">
        <v>131</v>
      </c>
      <c r="D4" s="21" t="s">
        <v>132</v>
      </c>
      <c r="E4" s="17">
        <v>2</v>
      </c>
      <c r="F4" s="18" t="s">
        <v>72</v>
      </c>
      <c r="G4" s="21" t="s">
        <v>133</v>
      </c>
      <c r="H4" s="21" t="s">
        <v>134</v>
      </c>
    </row>
    <row r="5" spans="1:8" ht="30" customHeight="1" x14ac:dyDescent="0.3">
      <c r="A5" s="14" t="s">
        <v>126</v>
      </c>
      <c r="B5" s="14" t="s">
        <v>127</v>
      </c>
      <c r="C5" s="15" t="s">
        <v>135</v>
      </c>
      <c r="D5" s="16" t="s">
        <v>136</v>
      </c>
      <c r="E5" s="17">
        <v>2</v>
      </c>
      <c r="F5" s="18" t="s">
        <v>72</v>
      </c>
      <c r="G5" s="16" t="s">
        <v>137</v>
      </c>
      <c r="H5" s="16" t="s">
        <v>134</v>
      </c>
    </row>
    <row r="6" spans="1:8" ht="18" customHeight="1" x14ac:dyDescent="0.3">
      <c r="A6" s="13" t="s">
        <v>138</v>
      </c>
      <c r="B6" s="13" t="s">
        <v>139</v>
      </c>
      <c r="C6" s="13"/>
      <c r="D6" s="13"/>
      <c r="E6" s="13"/>
      <c r="F6" s="13"/>
      <c r="G6" s="13"/>
      <c r="H6" s="13"/>
    </row>
    <row r="7" spans="1:8" ht="30" customHeight="1" x14ac:dyDescent="0.3">
      <c r="A7" s="14" t="s">
        <v>138</v>
      </c>
      <c r="B7" s="14" t="s">
        <v>139</v>
      </c>
      <c r="C7" s="15" t="s">
        <v>140</v>
      </c>
      <c r="D7" s="16" t="s">
        <v>141</v>
      </c>
      <c r="E7" s="22">
        <v>1</v>
      </c>
      <c r="F7" s="18" t="s">
        <v>72</v>
      </c>
      <c r="G7" s="16" t="s">
        <v>1083</v>
      </c>
      <c r="H7" s="16" t="s">
        <v>1070</v>
      </c>
    </row>
    <row r="8" spans="1:8" ht="30" customHeight="1" x14ac:dyDescent="0.3">
      <c r="A8" s="19" t="s">
        <v>138</v>
      </c>
      <c r="B8" s="19" t="s">
        <v>139</v>
      </c>
      <c r="C8" s="20" t="s">
        <v>142</v>
      </c>
      <c r="D8" s="21" t="s">
        <v>143</v>
      </c>
      <c r="E8" s="22">
        <v>1</v>
      </c>
      <c r="F8" s="18" t="s">
        <v>72</v>
      </c>
      <c r="G8" s="21" t="s">
        <v>1084</v>
      </c>
      <c r="H8" s="21" t="s">
        <v>1070</v>
      </c>
    </row>
    <row r="9" spans="1:8" ht="30" customHeight="1" x14ac:dyDescent="0.3">
      <c r="A9" s="14" t="s">
        <v>138</v>
      </c>
      <c r="B9" s="14" t="s">
        <v>139</v>
      </c>
      <c r="C9" s="15" t="s">
        <v>144</v>
      </c>
      <c r="D9" s="16" t="s">
        <v>145</v>
      </c>
      <c r="E9" s="17">
        <v>2</v>
      </c>
      <c r="F9" s="18" t="s">
        <v>72</v>
      </c>
      <c r="G9" s="16" t="s">
        <v>1085</v>
      </c>
      <c r="H9" s="16" t="s">
        <v>1070</v>
      </c>
    </row>
    <row r="10" spans="1:8" ht="18" customHeight="1" x14ac:dyDescent="0.3">
      <c r="A10" s="13" t="s">
        <v>146</v>
      </c>
      <c r="B10" s="13" t="s">
        <v>147</v>
      </c>
      <c r="C10" s="13"/>
      <c r="D10" s="13"/>
      <c r="E10" s="13"/>
      <c r="F10" s="13"/>
      <c r="G10" s="13"/>
      <c r="H10" s="13"/>
    </row>
    <row r="11" spans="1:8" ht="30" customHeight="1" x14ac:dyDescent="0.3">
      <c r="A11" s="14" t="s">
        <v>146</v>
      </c>
      <c r="B11" s="14" t="s">
        <v>147</v>
      </c>
      <c r="C11" s="15" t="s">
        <v>148</v>
      </c>
      <c r="D11" s="16" t="s">
        <v>149</v>
      </c>
      <c r="E11" s="22">
        <v>1</v>
      </c>
      <c r="F11" s="18" t="s">
        <v>72</v>
      </c>
      <c r="G11" s="16" t="s">
        <v>1086</v>
      </c>
      <c r="H11" s="16" t="s">
        <v>1070</v>
      </c>
    </row>
    <row r="12" spans="1:8" ht="30" customHeight="1" x14ac:dyDescent="0.3">
      <c r="A12" s="19" t="s">
        <v>146</v>
      </c>
      <c r="B12" s="19" t="s">
        <v>147</v>
      </c>
      <c r="C12" s="20" t="s">
        <v>150</v>
      </c>
      <c r="D12" s="21" t="s">
        <v>151</v>
      </c>
      <c r="E12" s="17">
        <v>2</v>
      </c>
      <c r="F12" s="18" t="s">
        <v>72</v>
      </c>
      <c r="G12" s="21" t="s">
        <v>1087</v>
      </c>
      <c r="H12" s="21" t="s">
        <v>1070</v>
      </c>
    </row>
    <row r="13" spans="1:8" ht="30" customHeight="1" x14ac:dyDescent="0.3">
      <c r="A13" s="14" t="s">
        <v>146</v>
      </c>
      <c r="B13" s="14" t="s">
        <v>147</v>
      </c>
      <c r="C13" s="15" t="s">
        <v>152</v>
      </c>
      <c r="D13" s="16" t="s">
        <v>153</v>
      </c>
      <c r="E13" s="17">
        <v>2</v>
      </c>
      <c r="F13" s="18" t="s">
        <v>72</v>
      </c>
      <c r="G13" s="16" t="s">
        <v>1088</v>
      </c>
      <c r="H13" s="16" t="s">
        <v>1070</v>
      </c>
    </row>
    <row r="14" spans="1:8" ht="30" customHeight="1" x14ac:dyDescent="0.3">
      <c r="A14" s="19" t="s">
        <v>146</v>
      </c>
      <c r="B14" s="19" t="s">
        <v>147</v>
      </c>
      <c r="C14" s="20" t="s">
        <v>155</v>
      </c>
      <c r="D14" s="21" t="s">
        <v>156</v>
      </c>
      <c r="E14" s="17">
        <v>2</v>
      </c>
      <c r="F14" s="18" t="s">
        <v>62</v>
      </c>
      <c r="G14" s="21" t="s">
        <v>1023</v>
      </c>
      <c r="H14" s="21"/>
    </row>
    <row r="15" spans="1:8" ht="30" customHeight="1" x14ac:dyDescent="0.3">
      <c r="A15" s="14" t="s">
        <v>146</v>
      </c>
      <c r="B15" s="14" t="s">
        <v>147</v>
      </c>
      <c r="C15" s="15" t="s">
        <v>157</v>
      </c>
      <c r="D15" s="16" t="s">
        <v>158</v>
      </c>
      <c r="E15" s="23">
        <v>3</v>
      </c>
      <c r="F15" s="18" t="s">
        <v>62</v>
      </c>
      <c r="G15" s="16" t="s">
        <v>159</v>
      </c>
      <c r="H15" s="16"/>
    </row>
    <row r="16" spans="1:8" ht="18" customHeight="1" x14ac:dyDescent="0.3">
      <c r="A16" s="13" t="s">
        <v>160</v>
      </c>
      <c r="B16" s="13" t="s">
        <v>161</v>
      </c>
      <c r="C16" s="13"/>
      <c r="D16" s="13"/>
      <c r="E16" s="13"/>
      <c r="F16" s="13"/>
      <c r="G16" s="13"/>
      <c r="H16" s="13"/>
    </row>
    <row r="17" spans="1:8" ht="30" customHeight="1" x14ac:dyDescent="0.3">
      <c r="A17" s="14" t="s">
        <v>160</v>
      </c>
      <c r="B17" s="14" t="s">
        <v>161</v>
      </c>
      <c r="C17" s="15" t="s">
        <v>162</v>
      </c>
      <c r="D17" s="16" t="s">
        <v>163</v>
      </c>
      <c r="E17" s="17">
        <v>2</v>
      </c>
      <c r="F17" s="18" t="s">
        <v>72</v>
      </c>
      <c r="G17" s="16" t="s">
        <v>1089</v>
      </c>
      <c r="H17" s="16" t="s">
        <v>1090</v>
      </c>
    </row>
    <row r="18" spans="1:8" ht="30" customHeight="1" x14ac:dyDescent="0.3">
      <c r="A18" s="19" t="s">
        <v>160</v>
      </c>
      <c r="B18" s="19" t="s">
        <v>161</v>
      </c>
      <c r="C18" s="20" t="s">
        <v>164</v>
      </c>
      <c r="D18" s="21" t="s">
        <v>165</v>
      </c>
      <c r="E18" s="23">
        <v>3</v>
      </c>
      <c r="F18" s="18" t="s">
        <v>72</v>
      </c>
      <c r="G18" s="21" t="s">
        <v>1091</v>
      </c>
      <c r="H18" s="21" t="s">
        <v>1092</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120" zoomScaleNormal="120" workbookViewId="0">
      <pane ySplit="1" topLeftCell="A26" activePane="bottomLeft" state="frozen"/>
      <selection pane="bottomLeft" activeCell="H27" sqref="H27"/>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166</v>
      </c>
      <c r="B2" s="13" t="s">
        <v>167</v>
      </c>
      <c r="C2" s="13"/>
      <c r="D2" s="13"/>
      <c r="E2" s="13"/>
      <c r="F2" s="13"/>
      <c r="G2" s="13"/>
      <c r="H2" s="13"/>
    </row>
    <row r="3" spans="1:8" ht="30" customHeight="1" x14ac:dyDescent="0.3">
      <c r="A3" s="14" t="s">
        <v>166</v>
      </c>
      <c r="B3" s="14" t="s">
        <v>167</v>
      </c>
      <c r="C3" s="15" t="s">
        <v>168</v>
      </c>
      <c r="D3" s="16" t="s">
        <v>169</v>
      </c>
      <c r="E3" s="23">
        <v>3</v>
      </c>
      <c r="F3" s="18" t="s">
        <v>62</v>
      </c>
      <c r="G3" s="16" t="s">
        <v>170</v>
      </c>
      <c r="H3" s="16"/>
    </row>
    <row r="4" spans="1:8" ht="18" customHeight="1" x14ac:dyDescent="0.3">
      <c r="A4" s="13" t="s">
        <v>171</v>
      </c>
      <c r="B4" s="13" t="s">
        <v>172</v>
      </c>
      <c r="C4" s="13"/>
      <c r="D4" s="13"/>
      <c r="E4" s="13"/>
      <c r="F4" s="13"/>
      <c r="G4" s="13"/>
      <c r="H4" s="13"/>
    </row>
    <row r="5" spans="1:8" ht="30" customHeight="1" x14ac:dyDescent="0.3">
      <c r="A5" s="14" t="s">
        <v>171</v>
      </c>
      <c r="B5" s="14" t="s">
        <v>172</v>
      </c>
      <c r="C5" s="15" t="s">
        <v>173</v>
      </c>
      <c r="D5" s="16" t="s">
        <v>174</v>
      </c>
      <c r="E5" s="22">
        <v>1</v>
      </c>
      <c r="F5" s="18" t="s">
        <v>62</v>
      </c>
      <c r="G5" s="16" t="s">
        <v>170</v>
      </c>
      <c r="H5" s="16"/>
    </row>
    <row r="6" spans="1:8" ht="30" customHeight="1" x14ac:dyDescent="0.3">
      <c r="A6" s="19" t="s">
        <v>171</v>
      </c>
      <c r="B6" s="19" t="s">
        <v>172</v>
      </c>
      <c r="C6" s="20" t="s">
        <v>175</v>
      </c>
      <c r="D6" s="21" t="s">
        <v>176</v>
      </c>
      <c r="E6" s="22">
        <v>1</v>
      </c>
      <c r="F6" s="18" t="s">
        <v>62</v>
      </c>
      <c r="G6" s="21" t="s">
        <v>170</v>
      </c>
      <c r="H6" s="21"/>
    </row>
    <row r="7" spans="1:8" ht="30" customHeight="1" x14ac:dyDescent="0.3">
      <c r="A7" s="14" t="s">
        <v>171</v>
      </c>
      <c r="B7" s="14" t="s">
        <v>172</v>
      </c>
      <c r="C7" s="15" t="s">
        <v>177</v>
      </c>
      <c r="D7" s="16" t="s">
        <v>178</v>
      </c>
      <c r="E7" s="23">
        <v>3</v>
      </c>
      <c r="F7" s="18" t="s">
        <v>62</v>
      </c>
      <c r="G7" s="16" t="s">
        <v>170</v>
      </c>
      <c r="H7" s="16"/>
    </row>
    <row r="8" spans="1:8" ht="18" customHeight="1" x14ac:dyDescent="0.3">
      <c r="A8" s="13" t="s">
        <v>179</v>
      </c>
      <c r="B8" s="13" t="s">
        <v>180</v>
      </c>
      <c r="C8" s="13"/>
      <c r="D8" s="13"/>
      <c r="E8" s="13"/>
      <c r="F8" s="13"/>
      <c r="G8" s="13"/>
      <c r="H8" s="13"/>
    </row>
    <row r="9" spans="1:8" ht="30" customHeight="1" x14ac:dyDescent="0.3">
      <c r="A9" s="14" t="s">
        <v>179</v>
      </c>
      <c r="B9" s="14" t="s">
        <v>180</v>
      </c>
      <c r="C9" s="15" t="s">
        <v>181</v>
      </c>
      <c r="D9" s="16" t="s">
        <v>182</v>
      </c>
      <c r="E9" s="22">
        <v>1</v>
      </c>
      <c r="F9" s="18" t="s">
        <v>72</v>
      </c>
      <c r="G9" s="16" t="s">
        <v>995</v>
      </c>
      <c r="H9" s="26" t="s">
        <v>183</v>
      </c>
    </row>
    <row r="10" spans="1:8" ht="30" customHeight="1" x14ac:dyDescent="0.3">
      <c r="A10" s="19" t="s">
        <v>179</v>
      </c>
      <c r="B10" s="19" t="s">
        <v>180</v>
      </c>
      <c r="C10" s="20" t="s">
        <v>184</v>
      </c>
      <c r="D10" s="21" t="s">
        <v>185</v>
      </c>
      <c r="E10" s="17">
        <v>2</v>
      </c>
      <c r="F10" s="18" t="s">
        <v>72</v>
      </c>
      <c r="G10" s="21" t="s">
        <v>996</v>
      </c>
      <c r="H10" s="24" t="s">
        <v>186</v>
      </c>
    </row>
    <row r="11" spans="1:8" ht="30" customHeight="1" x14ac:dyDescent="0.3">
      <c r="A11" s="14" t="s">
        <v>179</v>
      </c>
      <c r="B11" s="14" t="s">
        <v>180</v>
      </c>
      <c r="C11" s="15" t="s">
        <v>187</v>
      </c>
      <c r="D11" s="16" t="s">
        <v>188</v>
      </c>
      <c r="E11" s="17">
        <v>2</v>
      </c>
      <c r="F11" s="18" t="s">
        <v>62</v>
      </c>
      <c r="G11" s="16" t="s">
        <v>1024</v>
      </c>
      <c r="H11" s="26" t="s">
        <v>189</v>
      </c>
    </row>
    <row r="12" spans="1:8" ht="30" customHeight="1" x14ac:dyDescent="0.3">
      <c r="A12" s="19" t="s">
        <v>179</v>
      </c>
      <c r="B12" s="19" t="s">
        <v>180</v>
      </c>
      <c r="C12" s="20" t="s">
        <v>190</v>
      </c>
      <c r="D12" s="21" t="s">
        <v>191</v>
      </c>
      <c r="E12" s="17">
        <v>2</v>
      </c>
      <c r="F12" s="18" t="s">
        <v>72</v>
      </c>
      <c r="G12" s="21" t="s">
        <v>997</v>
      </c>
      <c r="H12" s="24" t="s">
        <v>183</v>
      </c>
    </row>
    <row r="13" spans="1:8" ht="30" customHeight="1" x14ac:dyDescent="0.3">
      <c r="A13" s="14" t="s">
        <v>179</v>
      </c>
      <c r="B13" s="14" t="s">
        <v>180</v>
      </c>
      <c r="C13" s="15" t="s">
        <v>192</v>
      </c>
      <c r="D13" s="16" t="s">
        <v>193</v>
      </c>
      <c r="E13" s="23">
        <v>3</v>
      </c>
      <c r="F13" s="18" t="s">
        <v>72</v>
      </c>
      <c r="G13" s="16" t="s">
        <v>998</v>
      </c>
      <c r="H13" s="26" t="s">
        <v>194</v>
      </c>
    </row>
    <row r="14" spans="1:8" ht="18" customHeight="1" x14ac:dyDescent="0.3">
      <c r="A14" s="13" t="s">
        <v>195</v>
      </c>
      <c r="B14" s="13" t="s">
        <v>196</v>
      </c>
      <c r="C14" s="13"/>
      <c r="D14" s="13"/>
      <c r="E14" s="13"/>
      <c r="F14" s="13"/>
      <c r="G14" s="13"/>
      <c r="H14" s="13"/>
    </row>
    <row r="15" spans="1:8" ht="30" customHeight="1" x14ac:dyDescent="0.3">
      <c r="A15" s="14" t="s">
        <v>195</v>
      </c>
      <c r="B15" s="14" t="s">
        <v>196</v>
      </c>
      <c r="C15" s="15" t="s">
        <v>197</v>
      </c>
      <c r="D15" s="16" t="s">
        <v>198</v>
      </c>
      <c r="E15" s="22">
        <v>1</v>
      </c>
      <c r="F15" s="18" t="s">
        <v>72</v>
      </c>
      <c r="G15" s="16" t="s">
        <v>1093</v>
      </c>
      <c r="H15" s="16" t="s">
        <v>1094</v>
      </c>
    </row>
    <row r="16" spans="1:8" ht="30" customHeight="1" x14ac:dyDescent="0.3">
      <c r="A16" s="19" t="s">
        <v>195</v>
      </c>
      <c r="B16" s="19" t="s">
        <v>196</v>
      </c>
      <c r="C16" s="20" t="s">
        <v>199</v>
      </c>
      <c r="D16" s="21" t="s">
        <v>200</v>
      </c>
      <c r="E16" s="22">
        <v>1</v>
      </c>
      <c r="F16" s="18" t="s">
        <v>72</v>
      </c>
      <c r="G16" s="21" t="s">
        <v>1095</v>
      </c>
      <c r="H16" s="21" t="s">
        <v>1096</v>
      </c>
    </row>
    <row r="17" spans="1:8" ht="30" customHeight="1" x14ac:dyDescent="0.3">
      <c r="A17" s="14" t="s">
        <v>195</v>
      </c>
      <c r="B17" s="14" t="s">
        <v>196</v>
      </c>
      <c r="C17" s="15" t="s">
        <v>201</v>
      </c>
      <c r="D17" s="16" t="s">
        <v>202</v>
      </c>
      <c r="E17" s="17">
        <v>2</v>
      </c>
      <c r="F17" s="18" t="s">
        <v>62</v>
      </c>
      <c r="G17" s="16" t="s">
        <v>170</v>
      </c>
      <c r="H17" s="16"/>
    </row>
    <row r="18" spans="1:8" ht="30" customHeight="1" x14ac:dyDescent="0.3">
      <c r="A18" s="19" t="s">
        <v>195</v>
      </c>
      <c r="B18" s="19" t="s">
        <v>196</v>
      </c>
      <c r="C18" s="20" t="s">
        <v>203</v>
      </c>
      <c r="D18" s="21" t="s">
        <v>204</v>
      </c>
      <c r="E18" s="17">
        <v>2</v>
      </c>
      <c r="F18" s="18" t="s">
        <v>72</v>
      </c>
      <c r="G18" s="21" t="s">
        <v>1097</v>
      </c>
      <c r="H18" s="21" t="s">
        <v>1096</v>
      </c>
    </row>
    <row r="19" spans="1:8" ht="30" customHeight="1" x14ac:dyDescent="0.3">
      <c r="A19" s="14" t="s">
        <v>195</v>
      </c>
      <c r="B19" s="14" t="s">
        <v>196</v>
      </c>
      <c r="C19" s="15" t="s">
        <v>205</v>
      </c>
      <c r="D19" s="16" t="s">
        <v>206</v>
      </c>
      <c r="E19" s="17">
        <v>2</v>
      </c>
      <c r="F19" s="18" t="s">
        <v>72</v>
      </c>
      <c r="G19" s="16" t="s">
        <v>1098</v>
      </c>
      <c r="H19" s="31" t="s">
        <v>1096</v>
      </c>
    </row>
    <row r="20" spans="1:8" ht="30" customHeight="1" x14ac:dyDescent="0.3">
      <c r="A20" s="19" t="s">
        <v>195</v>
      </c>
      <c r="B20" s="19" t="s">
        <v>196</v>
      </c>
      <c r="C20" s="20" t="s">
        <v>207</v>
      </c>
      <c r="D20" s="21" t="s">
        <v>208</v>
      </c>
      <c r="E20" s="17">
        <v>2</v>
      </c>
      <c r="F20" s="18" t="s">
        <v>62</v>
      </c>
      <c r="G20" s="21" t="s">
        <v>170</v>
      </c>
      <c r="H20" s="21"/>
    </row>
    <row r="21" spans="1:8" ht="30" customHeight="1" x14ac:dyDescent="0.3">
      <c r="A21" s="14" t="s">
        <v>195</v>
      </c>
      <c r="B21" s="14" t="s">
        <v>196</v>
      </c>
      <c r="C21" s="15" t="s">
        <v>209</v>
      </c>
      <c r="D21" s="16" t="s">
        <v>210</v>
      </c>
      <c r="E21" s="23">
        <v>3</v>
      </c>
      <c r="F21" s="18" t="s">
        <v>62</v>
      </c>
      <c r="G21" s="16" t="s">
        <v>170</v>
      </c>
      <c r="H21" s="16"/>
    </row>
    <row r="22" spans="1:8" ht="30" customHeight="1" x14ac:dyDescent="0.3">
      <c r="A22" s="19" t="s">
        <v>195</v>
      </c>
      <c r="B22" s="19" t="s">
        <v>196</v>
      </c>
      <c r="C22" s="20" t="s">
        <v>211</v>
      </c>
      <c r="D22" s="21" t="s">
        <v>212</v>
      </c>
      <c r="E22" s="23">
        <v>3</v>
      </c>
      <c r="F22" s="18" t="s">
        <v>62</v>
      </c>
      <c r="G22" s="21" t="s">
        <v>170</v>
      </c>
      <c r="H22" s="21"/>
    </row>
    <row r="23" spans="1:8" ht="18" customHeight="1" x14ac:dyDescent="0.3">
      <c r="A23" s="13" t="s">
        <v>213</v>
      </c>
      <c r="B23" s="13" t="s">
        <v>214</v>
      </c>
      <c r="C23" s="13"/>
      <c r="D23" s="13"/>
      <c r="E23" s="13"/>
      <c r="F23" s="13"/>
      <c r="G23" s="13"/>
      <c r="H23" s="13"/>
    </row>
    <row r="24" spans="1:8" ht="30" customHeight="1" x14ac:dyDescent="0.3">
      <c r="A24" s="14" t="s">
        <v>213</v>
      </c>
      <c r="B24" s="14" t="s">
        <v>214</v>
      </c>
      <c r="C24" s="15" t="s">
        <v>215</v>
      </c>
      <c r="D24" s="16" t="s">
        <v>216</v>
      </c>
      <c r="E24" s="22">
        <v>1</v>
      </c>
      <c r="F24" s="18" t="s">
        <v>62</v>
      </c>
      <c r="G24" s="16" t="s">
        <v>217</v>
      </c>
      <c r="H24" s="16"/>
    </row>
    <row r="25" spans="1:8" ht="30" customHeight="1" x14ac:dyDescent="0.3">
      <c r="A25" s="19" t="s">
        <v>213</v>
      </c>
      <c r="B25" s="19" t="s">
        <v>214</v>
      </c>
      <c r="C25" s="20" t="s">
        <v>218</v>
      </c>
      <c r="D25" s="21" t="s">
        <v>219</v>
      </c>
      <c r="E25" s="22">
        <v>1</v>
      </c>
      <c r="F25" s="18" t="s">
        <v>72</v>
      </c>
      <c r="G25" s="21" t="s">
        <v>1099</v>
      </c>
      <c r="H25" s="21" t="s">
        <v>1096</v>
      </c>
    </row>
    <row r="26" spans="1:8" ht="30" customHeight="1" x14ac:dyDescent="0.3">
      <c r="A26" s="14" t="s">
        <v>213</v>
      </c>
      <c r="B26" s="14" t="s">
        <v>214</v>
      </c>
      <c r="C26" s="15" t="s">
        <v>220</v>
      </c>
      <c r="D26" s="16" t="s">
        <v>221</v>
      </c>
      <c r="E26" s="22">
        <v>1</v>
      </c>
      <c r="F26" s="18" t="s">
        <v>72</v>
      </c>
      <c r="G26" s="16" t="s">
        <v>1100</v>
      </c>
      <c r="H26" s="16" t="s">
        <v>1101</v>
      </c>
    </row>
    <row r="27" spans="1:8" ht="30" customHeight="1" x14ac:dyDescent="0.3">
      <c r="A27" s="19" t="s">
        <v>213</v>
      </c>
      <c r="B27" s="19" t="s">
        <v>214</v>
      </c>
      <c r="C27" s="20" t="s">
        <v>222</v>
      </c>
      <c r="D27" s="21" t="s">
        <v>223</v>
      </c>
      <c r="E27" s="17">
        <v>2</v>
      </c>
      <c r="F27" s="18" t="s">
        <v>62</v>
      </c>
      <c r="G27" s="21" t="s">
        <v>1025</v>
      </c>
      <c r="H27" s="21"/>
    </row>
    <row r="28" spans="1:8" ht="30" customHeight="1" x14ac:dyDescent="0.3">
      <c r="A28" s="14" t="s">
        <v>213</v>
      </c>
      <c r="B28" s="14" t="s">
        <v>214</v>
      </c>
      <c r="C28" s="15" t="s">
        <v>224</v>
      </c>
      <c r="D28" s="16" t="s">
        <v>225</v>
      </c>
      <c r="E28" s="17">
        <v>2</v>
      </c>
      <c r="F28" s="18" t="s">
        <v>62</v>
      </c>
      <c r="G28" s="16" t="s">
        <v>170</v>
      </c>
      <c r="H28" s="16"/>
    </row>
    <row r="29" spans="1:8" ht="30" customHeight="1" x14ac:dyDescent="0.3">
      <c r="A29" s="19" t="s">
        <v>213</v>
      </c>
      <c r="B29" s="19" t="s">
        <v>214</v>
      </c>
      <c r="C29" s="20" t="s">
        <v>226</v>
      </c>
      <c r="D29" s="21" t="s">
        <v>227</v>
      </c>
      <c r="E29" s="23">
        <v>3</v>
      </c>
      <c r="F29" s="18" t="s">
        <v>62</v>
      </c>
      <c r="G29" s="21" t="s">
        <v>170</v>
      </c>
      <c r="H29" s="21"/>
    </row>
    <row r="30" spans="1:8" ht="30" customHeight="1" x14ac:dyDescent="0.3">
      <c r="A30" s="14" t="s">
        <v>213</v>
      </c>
      <c r="B30" s="14" t="s">
        <v>214</v>
      </c>
      <c r="C30" s="15" t="s">
        <v>228</v>
      </c>
      <c r="D30" s="16" t="s">
        <v>229</v>
      </c>
      <c r="E30" s="23">
        <v>3</v>
      </c>
      <c r="F30" s="18" t="s">
        <v>62</v>
      </c>
      <c r="G30" s="16" t="s">
        <v>170</v>
      </c>
      <c r="H30" s="16"/>
    </row>
    <row r="31" spans="1:8" ht="30" customHeight="1" x14ac:dyDescent="0.3">
      <c r="A31" s="19" t="s">
        <v>213</v>
      </c>
      <c r="B31" s="19" t="s">
        <v>214</v>
      </c>
      <c r="C31" s="20" t="s">
        <v>230</v>
      </c>
      <c r="D31" s="21" t="s">
        <v>231</v>
      </c>
      <c r="E31" s="23">
        <v>3</v>
      </c>
      <c r="F31" s="18" t="s">
        <v>62</v>
      </c>
      <c r="G31" s="21" t="s">
        <v>170</v>
      </c>
      <c r="H31" s="21"/>
    </row>
    <row r="32" spans="1:8" ht="18" customHeight="1" x14ac:dyDescent="0.3">
      <c r="A32" s="13" t="s">
        <v>232</v>
      </c>
      <c r="B32" s="13" t="s">
        <v>233</v>
      </c>
      <c r="C32" s="13"/>
      <c r="D32" s="13"/>
      <c r="E32" s="13"/>
      <c r="F32" s="13"/>
      <c r="G32" s="13"/>
      <c r="H32" s="13"/>
    </row>
    <row r="33" spans="1:8" ht="30" customHeight="1" x14ac:dyDescent="0.3">
      <c r="A33" s="14" t="s">
        <v>232</v>
      </c>
      <c r="B33" s="14" t="s">
        <v>233</v>
      </c>
      <c r="C33" s="15" t="s">
        <v>234</v>
      </c>
      <c r="D33" s="16" t="s">
        <v>235</v>
      </c>
      <c r="E33" s="23">
        <v>3</v>
      </c>
      <c r="F33" s="18" t="s">
        <v>62</v>
      </c>
      <c r="G33" s="16" t="s">
        <v>170</v>
      </c>
      <c r="H33" s="16"/>
    </row>
    <row r="34" spans="1:8" ht="18" customHeight="1" x14ac:dyDescent="0.3">
      <c r="A34" s="13" t="s">
        <v>236</v>
      </c>
      <c r="B34" s="13" t="s">
        <v>237</v>
      </c>
      <c r="C34" s="13"/>
      <c r="D34" s="13"/>
      <c r="E34" s="13"/>
      <c r="F34" s="13"/>
      <c r="G34" s="13"/>
      <c r="H34" s="13"/>
    </row>
    <row r="35" spans="1:8" ht="30" customHeight="1" x14ac:dyDescent="0.3">
      <c r="A35" s="14" t="s">
        <v>236</v>
      </c>
      <c r="B35" s="14" t="s">
        <v>237</v>
      </c>
      <c r="C35" s="15" t="s">
        <v>238</v>
      </c>
      <c r="D35" s="16" t="s">
        <v>239</v>
      </c>
      <c r="E35" s="17">
        <v>2</v>
      </c>
      <c r="F35" s="18" t="s">
        <v>62</v>
      </c>
      <c r="G35" s="16" t="s">
        <v>170</v>
      </c>
      <c r="H35" s="16"/>
    </row>
    <row r="36" spans="1:8" ht="30" customHeight="1" x14ac:dyDescent="0.3">
      <c r="A36" s="19" t="s">
        <v>236</v>
      </c>
      <c r="B36" s="19" t="s">
        <v>237</v>
      </c>
      <c r="C36" s="20" t="s">
        <v>240</v>
      </c>
      <c r="D36" s="21" t="s">
        <v>241</v>
      </c>
      <c r="E36" s="17">
        <v>2</v>
      </c>
      <c r="F36" s="18" t="s">
        <v>62</v>
      </c>
      <c r="G36" s="21" t="s">
        <v>170</v>
      </c>
      <c r="H36" s="21"/>
    </row>
    <row r="37" spans="1:8" ht="30" customHeight="1" x14ac:dyDescent="0.3">
      <c r="A37" s="14" t="s">
        <v>236</v>
      </c>
      <c r="B37" s="14" t="s">
        <v>237</v>
      </c>
      <c r="C37" s="15" t="s">
        <v>242</v>
      </c>
      <c r="D37" s="16" t="s">
        <v>243</v>
      </c>
      <c r="E37" s="23">
        <v>3</v>
      </c>
      <c r="F37" s="18" t="s">
        <v>62</v>
      </c>
      <c r="G37" s="16" t="s">
        <v>170</v>
      </c>
      <c r="H37" s="16"/>
    </row>
    <row r="38" spans="1:8" ht="30" customHeight="1" x14ac:dyDescent="0.3">
      <c r="A38" s="19" t="s">
        <v>236</v>
      </c>
      <c r="B38" s="19" t="s">
        <v>237</v>
      </c>
      <c r="C38" s="20" t="s">
        <v>244</v>
      </c>
      <c r="D38" s="21" t="s">
        <v>245</v>
      </c>
      <c r="E38" s="23">
        <v>3</v>
      </c>
      <c r="F38" s="18" t="s">
        <v>62</v>
      </c>
      <c r="G38" s="21" t="s">
        <v>170</v>
      </c>
      <c r="H38" s="21"/>
    </row>
    <row r="39" spans="1:8" ht="30" customHeight="1" x14ac:dyDescent="0.3">
      <c r="A39" s="14" t="s">
        <v>236</v>
      </c>
      <c r="B39" s="14" t="s">
        <v>237</v>
      </c>
      <c r="C39" s="15" t="s">
        <v>246</v>
      </c>
      <c r="D39" s="16" t="s">
        <v>247</v>
      </c>
      <c r="E39" s="23">
        <v>3</v>
      </c>
      <c r="F39" s="18" t="s">
        <v>62</v>
      </c>
      <c r="G39" s="16" t="s">
        <v>170</v>
      </c>
      <c r="H39" s="16"/>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9" xr:uid="{00000000-0002-0000-0300-000000000000}">
      <formula1>"Not Started,In Progress,Compliant,Not Applicable"</formula1>
      <formula2>0</formula2>
    </dataValidation>
  </dataValidations>
  <hyperlinks>
    <hyperlink ref="H9" r:id="rId1" xr:uid="{00000000-0004-0000-0300-000000000000}"/>
    <hyperlink ref="H10" r:id="rId2" xr:uid="{00000000-0004-0000-0300-000001000000}"/>
    <hyperlink ref="H11" r:id="rId3" xr:uid="{00000000-0004-0000-0300-000002000000}"/>
    <hyperlink ref="H12" r:id="rId4" xr:uid="{00000000-0004-0000-0300-000003000000}"/>
    <hyperlink ref="H13" r:id="rId5" xr:uid="{00000000-0004-0000-0300-000004000000}"/>
  </hyperlinks>
  <pageMargins left="0.75" right="0.75" top="1" bottom="1" header="0.51180555555555496" footer="0.51180555555555496"/>
  <pageSetup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topLeftCell="B1" zoomScale="120" zoomScaleNormal="120" workbookViewId="0">
      <pane ySplit="1" topLeftCell="A10" activePane="bottomLeft" state="frozen"/>
      <selection pane="bottomLeft" activeCell="H14" sqref="H14"/>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248</v>
      </c>
      <c r="B2" s="13" t="s">
        <v>249</v>
      </c>
      <c r="C2" s="13"/>
      <c r="D2" s="13"/>
      <c r="E2" s="13"/>
      <c r="F2" s="13"/>
      <c r="G2" s="13"/>
      <c r="H2" s="13"/>
    </row>
    <row r="3" spans="1:8" ht="30" customHeight="1" x14ac:dyDescent="0.3">
      <c r="A3" s="14" t="s">
        <v>248</v>
      </c>
      <c r="B3" s="14" t="s">
        <v>249</v>
      </c>
      <c r="C3" s="15" t="s">
        <v>250</v>
      </c>
      <c r="D3" s="16" t="s">
        <v>251</v>
      </c>
      <c r="E3" s="22">
        <v>1</v>
      </c>
      <c r="F3" s="18" t="s">
        <v>72</v>
      </c>
      <c r="G3" s="16" t="s">
        <v>1102</v>
      </c>
      <c r="H3" s="16" t="s">
        <v>1106</v>
      </c>
    </row>
    <row r="4" spans="1:8" ht="30" customHeight="1" x14ac:dyDescent="0.3">
      <c r="A4" s="19" t="s">
        <v>248</v>
      </c>
      <c r="B4" s="19" t="s">
        <v>249</v>
      </c>
      <c r="C4" s="20" t="s">
        <v>252</v>
      </c>
      <c r="D4" s="21" t="s">
        <v>253</v>
      </c>
      <c r="E4" s="17">
        <v>2</v>
      </c>
      <c r="F4" s="18" t="s">
        <v>62</v>
      </c>
      <c r="G4" s="21" t="s">
        <v>1103</v>
      </c>
      <c r="H4" s="21"/>
    </row>
    <row r="5" spans="1:8" ht="30" customHeight="1" x14ac:dyDescent="0.3">
      <c r="A5" s="14" t="s">
        <v>248</v>
      </c>
      <c r="B5" s="14" t="s">
        <v>249</v>
      </c>
      <c r="C5" s="15" t="s">
        <v>254</v>
      </c>
      <c r="D5" s="16" t="s">
        <v>255</v>
      </c>
      <c r="E5" s="17">
        <v>2</v>
      </c>
      <c r="F5" s="18" t="s">
        <v>72</v>
      </c>
      <c r="G5" s="16" t="s">
        <v>1104</v>
      </c>
      <c r="H5" s="16" t="s">
        <v>1107</v>
      </c>
    </row>
    <row r="6" spans="1:8" ht="30" customHeight="1" x14ac:dyDescent="0.3">
      <c r="A6" s="19" t="s">
        <v>248</v>
      </c>
      <c r="B6" s="19" t="s">
        <v>249</v>
      </c>
      <c r="C6" s="20" t="s">
        <v>256</v>
      </c>
      <c r="D6" s="21" t="s">
        <v>257</v>
      </c>
      <c r="E6" s="23">
        <v>3</v>
      </c>
      <c r="F6" s="18" t="s">
        <v>72</v>
      </c>
      <c r="G6" s="21" t="s">
        <v>1105</v>
      </c>
      <c r="H6" s="21" t="s">
        <v>1106</v>
      </c>
    </row>
    <row r="7" spans="1:8" ht="30" customHeight="1" x14ac:dyDescent="0.3">
      <c r="A7" s="14" t="s">
        <v>248</v>
      </c>
      <c r="B7" s="14" t="s">
        <v>249</v>
      </c>
      <c r="C7" s="15" t="s">
        <v>258</v>
      </c>
      <c r="D7" s="16" t="s">
        <v>259</v>
      </c>
      <c r="E7" s="23">
        <v>3</v>
      </c>
      <c r="F7" s="18" t="s">
        <v>62</v>
      </c>
      <c r="G7" s="16" t="s">
        <v>260</v>
      </c>
      <c r="H7" s="16"/>
    </row>
    <row r="8" spans="1:8" ht="18" customHeight="1" x14ac:dyDescent="0.3">
      <c r="A8" s="13" t="s">
        <v>261</v>
      </c>
      <c r="B8" s="13" t="s">
        <v>262</v>
      </c>
      <c r="C8" s="13"/>
      <c r="D8" s="13"/>
      <c r="E8" s="13"/>
      <c r="F8" s="13"/>
      <c r="G8" s="13"/>
      <c r="H8" s="13"/>
    </row>
    <row r="9" spans="1:8" ht="30" customHeight="1" x14ac:dyDescent="0.3">
      <c r="A9" s="14" t="s">
        <v>261</v>
      </c>
      <c r="B9" s="14" t="s">
        <v>262</v>
      </c>
      <c r="C9" s="15" t="s">
        <v>263</v>
      </c>
      <c r="D9" s="16" t="s">
        <v>264</v>
      </c>
      <c r="E9" s="17">
        <v>2</v>
      </c>
      <c r="F9" s="18" t="s">
        <v>72</v>
      </c>
      <c r="G9" s="16" t="s">
        <v>1108</v>
      </c>
      <c r="H9" s="16" t="s">
        <v>154</v>
      </c>
    </row>
    <row r="10" spans="1:8" ht="30" customHeight="1" x14ac:dyDescent="0.3">
      <c r="A10" s="19" t="s">
        <v>261</v>
      </c>
      <c r="B10" s="19" t="s">
        <v>262</v>
      </c>
      <c r="C10" s="20" t="s">
        <v>265</v>
      </c>
      <c r="D10" s="21" t="s">
        <v>266</v>
      </c>
      <c r="E10" s="23">
        <v>3</v>
      </c>
      <c r="F10" s="18" t="s">
        <v>72</v>
      </c>
      <c r="G10" s="21" t="s">
        <v>1109</v>
      </c>
      <c r="H10" s="21" t="s">
        <v>1110</v>
      </c>
    </row>
    <row r="11" spans="1:8" ht="30" customHeight="1" x14ac:dyDescent="0.3">
      <c r="A11" s="14" t="s">
        <v>261</v>
      </c>
      <c r="B11" s="14" t="s">
        <v>262</v>
      </c>
      <c r="C11" s="15" t="s">
        <v>267</v>
      </c>
      <c r="D11" s="16" t="s">
        <v>268</v>
      </c>
      <c r="E11" s="23">
        <v>3</v>
      </c>
      <c r="F11" s="18" t="s">
        <v>72</v>
      </c>
      <c r="G11" s="16" t="s">
        <v>1111</v>
      </c>
      <c r="H11" s="16"/>
    </row>
    <row r="12" spans="1:8" ht="30" customHeight="1" x14ac:dyDescent="0.3">
      <c r="A12" s="19" t="s">
        <v>261</v>
      </c>
      <c r="B12" s="19" t="s">
        <v>262</v>
      </c>
      <c r="C12" s="20" t="s">
        <v>269</v>
      </c>
      <c r="D12" s="21" t="s">
        <v>270</v>
      </c>
      <c r="E12" s="23">
        <v>3</v>
      </c>
      <c r="F12" s="18" t="s">
        <v>72</v>
      </c>
      <c r="G12" s="21" t="s">
        <v>1112</v>
      </c>
      <c r="H12" s="21" t="s">
        <v>1113</v>
      </c>
    </row>
    <row r="13" spans="1:8" ht="30" customHeight="1" x14ac:dyDescent="0.3">
      <c r="A13" s="14" t="s">
        <v>261</v>
      </c>
      <c r="B13" s="14" t="s">
        <v>262</v>
      </c>
      <c r="C13" s="15" t="s">
        <v>271</v>
      </c>
      <c r="D13" s="16" t="s">
        <v>272</v>
      </c>
      <c r="E13" s="23">
        <v>3</v>
      </c>
      <c r="F13" s="18" t="s">
        <v>72</v>
      </c>
      <c r="G13" s="16" t="s">
        <v>1114</v>
      </c>
      <c r="H13" s="16" t="s">
        <v>1070</v>
      </c>
    </row>
    <row r="14" spans="1:8" ht="18" customHeight="1" x14ac:dyDescent="0.3">
      <c r="A14" s="13" t="s">
        <v>273</v>
      </c>
      <c r="B14" s="13" t="s">
        <v>274</v>
      </c>
      <c r="C14" s="13"/>
      <c r="D14" s="13"/>
      <c r="E14" s="13"/>
      <c r="F14" s="13"/>
      <c r="G14" s="13"/>
      <c r="H14" s="13"/>
    </row>
    <row r="15" spans="1:8" ht="30" customHeight="1" x14ac:dyDescent="0.3">
      <c r="A15" s="14" t="s">
        <v>273</v>
      </c>
      <c r="B15" s="14" t="s">
        <v>274</v>
      </c>
      <c r="C15" s="15" t="s">
        <v>275</v>
      </c>
      <c r="D15" s="16" t="s">
        <v>276</v>
      </c>
      <c r="E15" s="17">
        <v>2</v>
      </c>
      <c r="F15" s="18" t="s">
        <v>62</v>
      </c>
      <c r="G15" s="16" t="s">
        <v>277</v>
      </c>
      <c r="H15" s="16"/>
    </row>
    <row r="16" spans="1:8" ht="30" customHeight="1" x14ac:dyDescent="0.3">
      <c r="A16" s="19" t="s">
        <v>273</v>
      </c>
      <c r="B16" s="19" t="s">
        <v>274</v>
      </c>
      <c r="C16" s="20" t="s">
        <v>278</v>
      </c>
      <c r="D16" s="21" t="s">
        <v>279</v>
      </c>
      <c r="E16" s="17">
        <v>2</v>
      </c>
      <c r="F16" s="18" t="s">
        <v>62</v>
      </c>
      <c r="G16" s="21" t="s">
        <v>280</v>
      </c>
      <c r="H16" s="21"/>
    </row>
    <row r="17" spans="1:8" ht="18" customHeight="1" x14ac:dyDescent="0.3">
      <c r="A17" s="13" t="s">
        <v>281</v>
      </c>
      <c r="B17" s="13" t="s">
        <v>282</v>
      </c>
      <c r="C17" s="13"/>
      <c r="D17" s="13"/>
      <c r="E17" s="13"/>
      <c r="F17" s="13"/>
      <c r="G17" s="13"/>
      <c r="H17" s="13"/>
    </row>
    <row r="18" spans="1:8" ht="30" customHeight="1" x14ac:dyDescent="0.3">
      <c r="A18" s="14" t="s">
        <v>281</v>
      </c>
      <c r="B18" s="14" t="s">
        <v>282</v>
      </c>
      <c r="C18" s="15" t="s">
        <v>283</v>
      </c>
      <c r="D18" s="16" t="s">
        <v>284</v>
      </c>
      <c r="E18" s="22">
        <v>1</v>
      </c>
      <c r="F18" s="18" t="s">
        <v>62</v>
      </c>
      <c r="G18" s="16" t="s">
        <v>285</v>
      </c>
      <c r="H18" s="16"/>
    </row>
    <row r="19" spans="1:8" ht="30" customHeight="1" x14ac:dyDescent="0.3">
      <c r="A19" s="19" t="s">
        <v>281</v>
      </c>
      <c r="B19" s="19" t="s">
        <v>282</v>
      </c>
      <c r="C19" s="20" t="s">
        <v>286</v>
      </c>
      <c r="D19" s="21" t="s">
        <v>287</v>
      </c>
      <c r="E19" s="17">
        <v>2</v>
      </c>
      <c r="F19" s="18" t="s">
        <v>62</v>
      </c>
      <c r="G19" s="21" t="s">
        <v>288</v>
      </c>
      <c r="H19" s="21"/>
    </row>
    <row r="20" spans="1:8" ht="30" customHeight="1" x14ac:dyDescent="0.3">
      <c r="A20" s="14" t="s">
        <v>281</v>
      </c>
      <c r="B20" s="14" t="s">
        <v>282</v>
      </c>
      <c r="C20" s="15" t="s">
        <v>289</v>
      </c>
      <c r="D20" s="16" t="s">
        <v>290</v>
      </c>
      <c r="E20" s="17">
        <v>2</v>
      </c>
      <c r="F20" s="18" t="s">
        <v>62</v>
      </c>
      <c r="G20" s="16" t="s">
        <v>291</v>
      </c>
      <c r="H20" s="16"/>
    </row>
    <row r="21" spans="1:8" ht="30" customHeight="1" x14ac:dyDescent="0.3">
      <c r="A21" s="19" t="s">
        <v>281</v>
      </c>
      <c r="B21" s="19" t="s">
        <v>282</v>
      </c>
      <c r="C21" s="20" t="s">
        <v>292</v>
      </c>
      <c r="D21" s="21" t="s">
        <v>293</v>
      </c>
      <c r="E21" s="17">
        <v>2</v>
      </c>
      <c r="F21" s="18" t="s">
        <v>62</v>
      </c>
      <c r="G21" s="21" t="s">
        <v>294</v>
      </c>
      <c r="H21" s="21"/>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disablePrompts="1" count="1">
    <dataValidation type="list" allowBlank="1" sqref="F2:F1021" xr:uid="{00000000-0002-0000-04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zoomScale="93" zoomScaleNormal="60" workbookViewId="0">
      <pane ySplit="1" topLeftCell="A2" activePane="bottomLeft" state="frozen"/>
      <selection pane="bottomLeft" activeCell="G13" sqref="G13"/>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295</v>
      </c>
      <c r="B2" s="13" t="s">
        <v>296</v>
      </c>
      <c r="C2" s="13"/>
      <c r="D2" s="13"/>
      <c r="E2" s="13"/>
      <c r="F2" s="13"/>
      <c r="G2" s="13"/>
      <c r="H2" s="13"/>
    </row>
    <row r="3" spans="1:8" ht="30" customHeight="1" x14ac:dyDescent="0.3">
      <c r="A3" s="14" t="s">
        <v>295</v>
      </c>
      <c r="B3" s="14" t="s">
        <v>296</v>
      </c>
      <c r="C3" s="15" t="s">
        <v>297</v>
      </c>
      <c r="D3" s="16" t="s">
        <v>298</v>
      </c>
      <c r="E3" s="17">
        <v>2</v>
      </c>
      <c r="F3" s="18" t="s">
        <v>62</v>
      </c>
      <c r="G3" s="16" t="s">
        <v>299</v>
      </c>
      <c r="H3" s="16"/>
    </row>
    <row r="4" spans="1:8" ht="18" customHeight="1" x14ac:dyDescent="0.3">
      <c r="A4" s="13" t="s">
        <v>300</v>
      </c>
      <c r="B4" s="13" t="s">
        <v>301</v>
      </c>
      <c r="C4" s="13"/>
      <c r="D4" s="13"/>
      <c r="E4" s="13"/>
      <c r="F4" s="13"/>
      <c r="G4" s="13"/>
      <c r="H4" s="13"/>
    </row>
    <row r="5" spans="1:8" ht="30" customHeight="1" x14ac:dyDescent="0.3">
      <c r="A5" s="14" t="s">
        <v>300</v>
      </c>
      <c r="B5" s="14" t="s">
        <v>301</v>
      </c>
      <c r="C5" s="15" t="s">
        <v>302</v>
      </c>
      <c r="D5" s="16" t="s">
        <v>303</v>
      </c>
      <c r="E5" s="22">
        <v>1</v>
      </c>
      <c r="F5" s="18" t="s">
        <v>62</v>
      </c>
      <c r="G5" s="16" t="s">
        <v>299</v>
      </c>
      <c r="H5" s="16"/>
    </row>
    <row r="6" spans="1:8" ht="30" customHeight="1" x14ac:dyDescent="0.3">
      <c r="A6" s="19" t="s">
        <v>300</v>
      </c>
      <c r="B6" s="19" t="s">
        <v>301</v>
      </c>
      <c r="C6" s="20" t="s">
        <v>304</v>
      </c>
      <c r="D6" s="21" t="s">
        <v>305</v>
      </c>
      <c r="E6" s="22">
        <v>1</v>
      </c>
      <c r="F6" s="18" t="s">
        <v>62</v>
      </c>
      <c r="G6" s="27" t="s">
        <v>299</v>
      </c>
      <c r="H6" s="21"/>
    </row>
    <row r="7" spans="1:8" ht="30" customHeight="1" x14ac:dyDescent="0.3">
      <c r="A7" s="14" t="s">
        <v>300</v>
      </c>
      <c r="B7" s="14" t="s">
        <v>301</v>
      </c>
      <c r="C7" s="15" t="s">
        <v>306</v>
      </c>
      <c r="D7" s="16" t="s">
        <v>307</v>
      </c>
      <c r="E7" s="17">
        <v>2</v>
      </c>
      <c r="F7" s="18" t="s">
        <v>62</v>
      </c>
      <c r="G7" s="16" t="s">
        <v>299</v>
      </c>
      <c r="H7" s="16"/>
    </row>
    <row r="8" spans="1:8" ht="30" customHeight="1" x14ac:dyDescent="0.3">
      <c r="A8" s="19" t="s">
        <v>300</v>
      </c>
      <c r="B8" s="19" t="s">
        <v>301</v>
      </c>
      <c r="C8" s="20" t="s">
        <v>308</v>
      </c>
      <c r="D8" s="21" t="s">
        <v>309</v>
      </c>
      <c r="E8" s="23">
        <v>3</v>
      </c>
      <c r="F8" s="18" t="s">
        <v>62</v>
      </c>
      <c r="G8" s="27" t="s">
        <v>299</v>
      </c>
      <c r="H8" s="21"/>
    </row>
    <row r="9" spans="1:8" ht="30" customHeight="1" x14ac:dyDescent="0.3">
      <c r="A9" s="14" t="s">
        <v>300</v>
      </c>
      <c r="B9" s="14" t="s">
        <v>301</v>
      </c>
      <c r="C9" s="15" t="s">
        <v>310</v>
      </c>
      <c r="D9" s="16" t="s">
        <v>311</v>
      </c>
      <c r="E9" s="23">
        <v>3</v>
      </c>
      <c r="F9" s="18" t="s">
        <v>62</v>
      </c>
      <c r="G9" s="16" t="s">
        <v>299</v>
      </c>
      <c r="H9" s="16"/>
    </row>
    <row r="10" spans="1:8" ht="30" customHeight="1" x14ac:dyDescent="0.3">
      <c r="A10" s="19" t="s">
        <v>300</v>
      </c>
      <c r="B10" s="19" t="s">
        <v>301</v>
      </c>
      <c r="C10" s="20" t="s">
        <v>312</v>
      </c>
      <c r="D10" s="21" t="s">
        <v>313</v>
      </c>
      <c r="E10" s="23">
        <v>3</v>
      </c>
      <c r="F10" s="18" t="s">
        <v>62</v>
      </c>
      <c r="G10" s="27" t="s">
        <v>299</v>
      </c>
      <c r="H10" s="21"/>
    </row>
    <row r="11" spans="1:8" ht="18" customHeight="1" x14ac:dyDescent="0.3">
      <c r="A11" s="13" t="s">
        <v>314</v>
      </c>
      <c r="B11" s="13" t="s">
        <v>315</v>
      </c>
      <c r="C11" s="13"/>
      <c r="D11" s="13"/>
      <c r="E11" s="13"/>
      <c r="F11" s="13"/>
      <c r="G11" s="13"/>
      <c r="H11" s="13"/>
    </row>
    <row r="12" spans="1:8" ht="30" customHeight="1" x14ac:dyDescent="0.3">
      <c r="A12" s="14" t="s">
        <v>314</v>
      </c>
      <c r="B12" s="14" t="s">
        <v>315</v>
      </c>
      <c r="C12" s="15" t="s">
        <v>316</v>
      </c>
      <c r="D12" s="16" t="s">
        <v>317</v>
      </c>
      <c r="E12" s="22">
        <v>1</v>
      </c>
      <c r="F12" s="18" t="s">
        <v>62</v>
      </c>
      <c r="G12" s="16" t="s">
        <v>299</v>
      </c>
      <c r="H12" s="16"/>
    </row>
    <row r="13" spans="1:8" ht="30" customHeight="1" x14ac:dyDescent="0.3">
      <c r="A13" s="19" t="s">
        <v>314</v>
      </c>
      <c r="B13" s="19" t="s">
        <v>315</v>
      </c>
      <c r="C13" s="20" t="s">
        <v>318</v>
      </c>
      <c r="D13" s="21" t="s">
        <v>319</v>
      </c>
      <c r="E13" s="22">
        <v>1</v>
      </c>
      <c r="F13" s="18" t="s">
        <v>72</v>
      </c>
      <c r="G13" s="21" t="s">
        <v>1115</v>
      </c>
      <c r="H13" s="21" t="s">
        <v>1116</v>
      </c>
    </row>
    <row r="14" spans="1:8" ht="30" customHeight="1" x14ac:dyDescent="0.3">
      <c r="A14" s="14" t="s">
        <v>314</v>
      </c>
      <c r="B14" s="14" t="s">
        <v>315</v>
      </c>
      <c r="C14" s="15" t="s">
        <v>320</v>
      </c>
      <c r="D14" s="16" t="s">
        <v>321</v>
      </c>
      <c r="E14" s="23">
        <v>3</v>
      </c>
      <c r="F14" s="18" t="s">
        <v>62</v>
      </c>
      <c r="G14" s="16" t="s">
        <v>299</v>
      </c>
      <c r="H14" s="16"/>
    </row>
    <row r="15" spans="1:8" ht="18" customHeight="1" x14ac:dyDescent="0.3">
      <c r="A15" s="13" t="s">
        <v>322</v>
      </c>
      <c r="B15" s="13" t="s">
        <v>323</v>
      </c>
      <c r="C15" s="13"/>
      <c r="D15" s="13"/>
      <c r="E15" s="13"/>
      <c r="F15" s="13"/>
      <c r="G15" s="13"/>
      <c r="H15" s="13"/>
    </row>
    <row r="16" spans="1:8" ht="30" customHeight="1" x14ac:dyDescent="0.3">
      <c r="A16" s="14" t="s">
        <v>322</v>
      </c>
      <c r="B16" s="14" t="s">
        <v>323</v>
      </c>
      <c r="C16" s="15" t="s">
        <v>324</v>
      </c>
      <c r="D16" s="16" t="s">
        <v>325</v>
      </c>
      <c r="E16" s="17">
        <v>2</v>
      </c>
      <c r="F16" s="18" t="s">
        <v>62</v>
      </c>
      <c r="G16" s="16" t="s">
        <v>299</v>
      </c>
      <c r="H16" s="16"/>
    </row>
    <row r="17" spans="1:8" ht="30" customHeight="1" x14ac:dyDescent="0.3">
      <c r="A17" s="19" t="s">
        <v>322</v>
      </c>
      <c r="B17" s="19" t="s">
        <v>323</v>
      </c>
      <c r="C17" s="20" t="s">
        <v>326</v>
      </c>
      <c r="D17" s="21" t="s">
        <v>327</v>
      </c>
      <c r="E17" s="17">
        <v>2</v>
      </c>
      <c r="F17" s="18" t="s">
        <v>62</v>
      </c>
      <c r="G17" s="21" t="s">
        <v>299</v>
      </c>
      <c r="H17" s="21"/>
    </row>
    <row r="18" spans="1:8" ht="30" customHeight="1" x14ac:dyDescent="0.3">
      <c r="A18" s="14" t="s">
        <v>322</v>
      </c>
      <c r="B18" s="14" t="s">
        <v>323</v>
      </c>
      <c r="C18" s="15" t="s">
        <v>328</v>
      </c>
      <c r="D18" s="16" t="s">
        <v>329</v>
      </c>
      <c r="E18" s="17">
        <v>2</v>
      </c>
      <c r="F18" s="18" t="s">
        <v>62</v>
      </c>
      <c r="G18" s="16" t="s">
        <v>299</v>
      </c>
      <c r="H18" s="16"/>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topLeftCell="B1" zoomScale="110" zoomScaleNormal="75" workbookViewId="0">
      <pane ySplit="1" topLeftCell="A41" activePane="bottomLeft" state="frozen"/>
      <selection pane="bottomLeft" activeCell="G56" sqref="G56"/>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330</v>
      </c>
      <c r="B2" s="13" t="s">
        <v>331</v>
      </c>
      <c r="C2" s="13"/>
      <c r="D2" s="13"/>
      <c r="E2" s="13"/>
      <c r="F2" s="13"/>
      <c r="G2" s="13"/>
      <c r="H2" s="13"/>
    </row>
    <row r="3" spans="1:8" ht="30" customHeight="1" x14ac:dyDescent="0.3">
      <c r="A3" s="14" t="s">
        <v>330</v>
      </c>
      <c r="B3" s="14" t="s">
        <v>331</v>
      </c>
      <c r="C3" s="15" t="s">
        <v>332</v>
      </c>
      <c r="D3" s="16" t="s">
        <v>333</v>
      </c>
      <c r="E3" s="22">
        <v>1</v>
      </c>
      <c r="F3" s="18" t="s">
        <v>72</v>
      </c>
      <c r="G3" s="16" t="s">
        <v>334</v>
      </c>
      <c r="H3" s="26" t="s">
        <v>335</v>
      </c>
    </row>
    <row r="4" spans="1:8" ht="30" customHeight="1" x14ac:dyDescent="0.3">
      <c r="A4" s="19" t="s">
        <v>330</v>
      </c>
      <c r="B4" s="19" t="s">
        <v>331</v>
      </c>
      <c r="C4" s="20" t="s">
        <v>336</v>
      </c>
      <c r="D4" s="21" t="s">
        <v>337</v>
      </c>
      <c r="E4" s="17">
        <v>2</v>
      </c>
      <c r="F4" s="18" t="s">
        <v>62</v>
      </c>
      <c r="G4" s="21" t="s">
        <v>338</v>
      </c>
      <c r="H4" s="21"/>
    </row>
    <row r="5" spans="1:8" ht="30" customHeight="1" x14ac:dyDescent="0.3">
      <c r="A5" s="14" t="s">
        <v>330</v>
      </c>
      <c r="B5" s="14" t="s">
        <v>331</v>
      </c>
      <c r="C5" s="15" t="s">
        <v>339</v>
      </c>
      <c r="D5" s="16" t="s">
        <v>340</v>
      </c>
      <c r="E5" s="17">
        <v>2</v>
      </c>
      <c r="F5" s="18" t="s">
        <v>62</v>
      </c>
      <c r="G5" s="16" t="s">
        <v>1026</v>
      </c>
      <c r="H5" s="26"/>
    </row>
    <row r="6" spans="1:8" ht="18" customHeight="1" x14ac:dyDescent="0.3">
      <c r="A6" s="13" t="s">
        <v>341</v>
      </c>
      <c r="B6" s="13" t="s">
        <v>342</v>
      </c>
      <c r="C6" s="13"/>
      <c r="D6" s="13"/>
      <c r="E6" s="13"/>
      <c r="F6" s="13"/>
      <c r="G6" s="13"/>
      <c r="H6" s="13"/>
    </row>
    <row r="7" spans="1:8" ht="30" customHeight="1" x14ac:dyDescent="0.3">
      <c r="A7" s="14" t="s">
        <v>341</v>
      </c>
      <c r="B7" s="14" t="s">
        <v>342</v>
      </c>
      <c r="C7" s="15" t="s">
        <v>343</v>
      </c>
      <c r="D7" s="16" t="s">
        <v>344</v>
      </c>
      <c r="E7" s="22">
        <v>1</v>
      </c>
      <c r="F7" s="18" t="s">
        <v>62</v>
      </c>
      <c r="G7" s="16" t="s">
        <v>1027</v>
      </c>
      <c r="H7" s="26" t="s">
        <v>345</v>
      </c>
    </row>
    <row r="8" spans="1:8" ht="30" customHeight="1" x14ac:dyDescent="0.3">
      <c r="A8" s="19" t="s">
        <v>341</v>
      </c>
      <c r="B8" s="19" t="s">
        <v>342</v>
      </c>
      <c r="C8" s="20" t="s">
        <v>346</v>
      </c>
      <c r="D8" s="21" t="s">
        <v>347</v>
      </c>
      <c r="E8" s="22">
        <v>1</v>
      </c>
      <c r="F8" s="18" t="s">
        <v>62</v>
      </c>
      <c r="G8" s="21" t="s">
        <v>1028</v>
      </c>
      <c r="H8" s="21"/>
    </row>
    <row r="9" spans="1:8" ht="30" customHeight="1" x14ac:dyDescent="0.3">
      <c r="A9" s="14" t="s">
        <v>341</v>
      </c>
      <c r="B9" s="14" t="s">
        <v>342</v>
      </c>
      <c r="C9" s="15" t="s">
        <v>348</v>
      </c>
      <c r="D9" s="16" t="s">
        <v>349</v>
      </c>
      <c r="E9" s="22">
        <v>1</v>
      </c>
      <c r="F9" s="18" t="s">
        <v>62</v>
      </c>
      <c r="G9" s="16" t="s">
        <v>1029</v>
      </c>
      <c r="H9" s="16"/>
    </row>
    <row r="10" spans="1:8" ht="30" customHeight="1" x14ac:dyDescent="0.3">
      <c r="A10" s="19" t="s">
        <v>341</v>
      </c>
      <c r="B10" s="19" t="s">
        <v>342</v>
      </c>
      <c r="C10" s="20" t="s">
        <v>350</v>
      </c>
      <c r="D10" s="21" t="s">
        <v>351</v>
      </c>
      <c r="E10" s="22">
        <v>1</v>
      </c>
      <c r="F10" s="18" t="s">
        <v>62</v>
      </c>
      <c r="G10" s="21" t="s">
        <v>1030</v>
      </c>
      <c r="H10" s="21"/>
    </row>
    <row r="11" spans="1:8" ht="30" customHeight="1" x14ac:dyDescent="0.3">
      <c r="A11" s="14" t="s">
        <v>341</v>
      </c>
      <c r="B11" s="14" t="s">
        <v>342</v>
      </c>
      <c r="C11" s="15" t="s">
        <v>352</v>
      </c>
      <c r="D11" s="16" t="s">
        <v>353</v>
      </c>
      <c r="E11" s="22">
        <v>1</v>
      </c>
      <c r="F11" s="18" t="s">
        <v>62</v>
      </c>
      <c r="G11" s="16" t="s">
        <v>1031</v>
      </c>
      <c r="H11" s="16"/>
    </row>
    <row r="12" spans="1:8" ht="30" customHeight="1" x14ac:dyDescent="0.3">
      <c r="A12" s="19" t="s">
        <v>341</v>
      </c>
      <c r="B12" s="19" t="s">
        <v>342</v>
      </c>
      <c r="C12" s="20" t="s">
        <v>354</v>
      </c>
      <c r="D12" s="21" t="s">
        <v>355</v>
      </c>
      <c r="E12" s="22">
        <v>1</v>
      </c>
      <c r="F12" s="18" t="s">
        <v>62</v>
      </c>
      <c r="G12" s="21" t="s">
        <v>1032</v>
      </c>
      <c r="H12" s="21"/>
    </row>
    <row r="13" spans="1:8" ht="30" customHeight="1" x14ac:dyDescent="0.3">
      <c r="A13" s="14" t="s">
        <v>341</v>
      </c>
      <c r="B13" s="14" t="s">
        <v>342</v>
      </c>
      <c r="C13" s="15" t="s">
        <v>356</v>
      </c>
      <c r="D13" s="16" t="s">
        <v>357</v>
      </c>
      <c r="E13" s="22">
        <v>1</v>
      </c>
      <c r="F13" s="18" t="s">
        <v>62</v>
      </c>
      <c r="G13" s="16" t="s">
        <v>1033</v>
      </c>
      <c r="H13" s="16"/>
    </row>
    <row r="14" spans="1:8" ht="30" customHeight="1" x14ac:dyDescent="0.3">
      <c r="A14" s="19" t="s">
        <v>341</v>
      </c>
      <c r="B14" s="19" t="s">
        <v>342</v>
      </c>
      <c r="C14" s="20" t="s">
        <v>358</v>
      </c>
      <c r="D14" s="21" t="s">
        <v>359</v>
      </c>
      <c r="E14" s="22">
        <v>1</v>
      </c>
      <c r="F14" s="18" t="s">
        <v>62</v>
      </c>
      <c r="G14" s="21" t="s">
        <v>1034</v>
      </c>
      <c r="H14" s="21"/>
    </row>
    <row r="15" spans="1:8" ht="30" customHeight="1" x14ac:dyDescent="0.3">
      <c r="A15" s="14" t="s">
        <v>341</v>
      </c>
      <c r="B15" s="14" t="s">
        <v>342</v>
      </c>
      <c r="C15" s="15" t="s">
        <v>360</v>
      </c>
      <c r="D15" s="16" t="s">
        <v>361</v>
      </c>
      <c r="E15" s="17">
        <v>2</v>
      </c>
      <c r="F15" s="18" t="s">
        <v>62</v>
      </c>
      <c r="G15" s="16" t="s">
        <v>1035</v>
      </c>
      <c r="H15" s="16"/>
    </row>
    <row r="16" spans="1:8" ht="30" customHeight="1" x14ac:dyDescent="0.3">
      <c r="A16" s="19" t="s">
        <v>341</v>
      </c>
      <c r="B16" s="19" t="s">
        <v>342</v>
      </c>
      <c r="C16" s="20" t="s">
        <v>362</v>
      </c>
      <c r="D16" s="21" t="s">
        <v>363</v>
      </c>
      <c r="E16" s="17">
        <v>2</v>
      </c>
      <c r="F16" s="18" t="s">
        <v>62</v>
      </c>
      <c r="G16" s="21" t="s">
        <v>1036</v>
      </c>
      <c r="H16" s="21"/>
    </row>
    <row r="17" spans="1:8" ht="30" customHeight="1" x14ac:dyDescent="0.3">
      <c r="A17" s="14" t="s">
        <v>341</v>
      </c>
      <c r="B17" s="14" t="s">
        <v>342</v>
      </c>
      <c r="C17" s="15" t="s">
        <v>364</v>
      </c>
      <c r="D17" s="16" t="s">
        <v>365</v>
      </c>
      <c r="E17" s="17">
        <v>2</v>
      </c>
      <c r="F17" s="18" t="s">
        <v>62</v>
      </c>
      <c r="G17" s="16" t="s">
        <v>1037</v>
      </c>
      <c r="H17" s="16"/>
    </row>
    <row r="18" spans="1:8" ht="30" customHeight="1" x14ac:dyDescent="0.3">
      <c r="A18" s="19" t="s">
        <v>341</v>
      </c>
      <c r="B18" s="19" t="s">
        <v>342</v>
      </c>
      <c r="C18" s="20" t="s">
        <v>366</v>
      </c>
      <c r="D18" s="21" t="s">
        <v>367</v>
      </c>
      <c r="E18" s="17">
        <v>2</v>
      </c>
      <c r="F18" s="18" t="s">
        <v>62</v>
      </c>
      <c r="G18" s="21" t="s">
        <v>1038</v>
      </c>
      <c r="H18" s="21"/>
    </row>
    <row r="19" spans="1:8" ht="18" customHeight="1" x14ac:dyDescent="0.3">
      <c r="A19" s="13" t="s">
        <v>368</v>
      </c>
      <c r="B19" s="13" t="s">
        <v>369</v>
      </c>
      <c r="C19" s="13"/>
      <c r="D19" s="13"/>
      <c r="E19" s="13"/>
      <c r="F19" s="13"/>
      <c r="G19" s="13"/>
      <c r="H19" s="13"/>
    </row>
    <row r="20" spans="1:8" ht="30" customHeight="1" x14ac:dyDescent="0.3">
      <c r="A20" s="14" t="s">
        <v>368</v>
      </c>
      <c r="B20" s="14" t="s">
        <v>369</v>
      </c>
      <c r="C20" s="15" t="s">
        <v>370</v>
      </c>
      <c r="D20" s="16" t="s">
        <v>371</v>
      </c>
      <c r="E20" s="22">
        <v>1</v>
      </c>
      <c r="F20" s="18" t="s">
        <v>72</v>
      </c>
      <c r="G20" s="16" t="s">
        <v>372</v>
      </c>
      <c r="H20" s="26" t="s">
        <v>335</v>
      </c>
    </row>
    <row r="21" spans="1:8" ht="30" customHeight="1" x14ac:dyDescent="0.3">
      <c r="A21" s="19" t="s">
        <v>368</v>
      </c>
      <c r="B21" s="19" t="s">
        <v>369</v>
      </c>
      <c r="C21" s="20" t="s">
        <v>373</v>
      </c>
      <c r="D21" s="21" t="s">
        <v>374</v>
      </c>
      <c r="E21" s="22">
        <v>1</v>
      </c>
      <c r="F21" s="18" t="s">
        <v>72</v>
      </c>
      <c r="G21" s="21" t="s">
        <v>375</v>
      </c>
      <c r="H21" s="21"/>
    </row>
    <row r="22" spans="1:8" ht="30" customHeight="1" x14ac:dyDescent="0.3">
      <c r="A22" s="14" t="s">
        <v>368</v>
      </c>
      <c r="B22" s="14" t="s">
        <v>369</v>
      </c>
      <c r="C22" s="15" t="s">
        <v>376</v>
      </c>
      <c r="D22" s="16" t="s">
        <v>377</v>
      </c>
      <c r="E22" s="17">
        <v>2</v>
      </c>
      <c r="F22" s="18" t="s">
        <v>62</v>
      </c>
      <c r="G22" s="16" t="s">
        <v>378</v>
      </c>
      <c r="H22" s="16"/>
    </row>
    <row r="23" spans="1:8" ht="30" customHeight="1" x14ac:dyDescent="0.3">
      <c r="A23" s="19" t="s">
        <v>368</v>
      </c>
      <c r="B23" s="19" t="s">
        <v>369</v>
      </c>
      <c r="C23" s="20" t="s">
        <v>379</v>
      </c>
      <c r="D23" s="21" t="s">
        <v>380</v>
      </c>
      <c r="E23" s="17">
        <v>2</v>
      </c>
      <c r="F23" s="18" t="s">
        <v>62</v>
      </c>
      <c r="G23" s="21" t="s">
        <v>1039</v>
      </c>
      <c r="H23" s="24"/>
    </row>
    <row r="24" spans="1:8" ht="30" customHeight="1" x14ac:dyDescent="0.3">
      <c r="A24" s="14" t="s">
        <v>368</v>
      </c>
      <c r="B24" s="14" t="s">
        <v>369</v>
      </c>
      <c r="C24" s="15" t="s">
        <v>381</v>
      </c>
      <c r="D24" s="16" t="s">
        <v>382</v>
      </c>
      <c r="E24" s="23">
        <v>3</v>
      </c>
      <c r="F24" s="18" t="s">
        <v>62</v>
      </c>
      <c r="G24" s="16" t="s">
        <v>383</v>
      </c>
      <c r="H24" s="16"/>
    </row>
    <row r="25" spans="1:8" ht="30" customHeight="1" x14ac:dyDescent="0.3">
      <c r="A25" s="19" t="s">
        <v>368</v>
      </c>
      <c r="B25" s="19" t="s">
        <v>369</v>
      </c>
      <c r="C25" s="20" t="s">
        <v>384</v>
      </c>
      <c r="D25" s="21" t="s">
        <v>385</v>
      </c>
      <c r="E25" s="23">
        <v>3</v>
      </c>
      <c r="F25" s="18" t="s">
        <v>72</v>
      </c>
      <c r="G25" s="21" t="s">
        <v>386</v>
      </c>
      <c r="H25" s="21"/>
    </row>
    <row r="26" spans="1:8" ht="30" customHeight="1" x14ac:dyDescent="0.3">
      <c r="A26" s="14" t="s">
        <v>368</v>
      </c>
      <c r="B26" s="14" t="s">
        <v>369</v>
      </c>
      <c r="C26" s="15" t="s">
        <v>387</v>
      </c>
      <c r="D26" s="16" t="s">
        <v>388</v>
      </c>
      <c r="E26" s="23">
        <v>3</v>
      </c>
      <c r="F26" s="18" t="s">
        <v>62</v>
      </c>
      <c r="G26" s="16" t="s">
        <v>389</v>
      </c>
      <c r="H26" s="16"/>
    </row>
    <row r="27" spans="1:8" ht="30" customHeight="1" x14ac:dyDescent="0.3">
      <c r="A27" s="19" t="s">
        <v>368</v>
      </c>
      <c r="B27" s="19" t="s">
        <v>369</v>
      </c>
      <c r="C27" s="20" t="s">
        <v>390</v>
      </c>
      <c r="D27" s="21" t="s">
        <v>391</v>
      </c>
      <c r="E27" s="23">
        <v>3</v>
      </c>
      <c r="F27" s="18" t="s">
        <v>72</v>
      </c>
      <c r="G27" s="21" t="s">
        <v>392</v>
      </c>
      <c r="H27" s="24" t="s">
        <v>393</v>
      </c>
    </row>
    <row r="28" spans="1:8" ht="18" customHeight="1" x14ac:dyDescent="0.3">
      <c r="A28" s="13" t="s">
        <v>394</v>
      </c>
      <c r="B28" s="13" t="s">
        <v>395</v>
      </c>
      <c r="C28" s="13"/>
      <c r="D28" s="13"/>
      <c r="E28" s="13"/>
      <c r="F28" s="13"/>
      <c r="G28" s="13"/>
      <c r="H28" s="13"/>
    </row>
    <row r="29" spans="1:8" ht="30" customHeight="1" x14ac:dyDescent="0.3">
      <c r="A29" s="14" t="s">
        <v>394</v>
      </c>
      <c r="B29" s="14" t="s">
        <v>395</v>
      </c>
      <c r="C29" s="15" t="s">
        <v>396</v>
      </c>
      <c r="D29" s="16" t="s">
        <v>397</v>
      </c>
      <c r="E29" s="22">
        <v>1</v>
      </c>
      <c r="F29" s="18" t="s">
        <v>62</v>
      </c>
      <c r="G29" s="16" t="s">
        <v>398</v>
      </c>
      <c r="H29" s="16"/>
    </row>
    <row r="30" spans="1:8" ht="30" customHeight="1" x14ac:dyDescent="0.3">
      <c r="A30" s="19" t="s">
        <v>394</v>
      </c>
      <c r="B30" s="19" t="s">
        <v>395</v>
      </c>
      <c r="C30" s="20" t="s">
        <v>399</v>
      </c>
      <c r="D30" s="21" t="s">
        <v>400</v>
      </c>
      <c r="E30" s="22">
        <v>1</v>
      </c>
      <c r="F30" s="18" t="s">
        <v>62</v>
      </c>
      <c r="G30" s="21" t="s">
        <v>398</v>
      </c>
      <c r="H30" s="21"/>
    </row>
    <row r="31" spans="1:8" ht="30" customHeight="1" x14ac:dyDescent="0.3">
      <c r="A31" s="14" t="s">
        <v>394</v>
      </c>
      <c r="B31" s="14" t="s">
        <v>395</v>
      </c>
      <c r="C31" s="15" t="s">
        <v>401</v>
      </c>
      <c r="D31" s="16" t="s">
        <v>402</v>
      </c>
      <c r="E31" s="17">
        <v>2</v>
      </c>
      <c r="F31" s="18" t="s">
        <v>62</v>
      </c>
      <c r="G31" s="16" t="s">
        <v>398</v>
      </c>
      <c r="H31" s="16"/>
    </row>
    <row r="32" spans="1:8" ht="30" customHeight="1" x14ac:dyDescent="0.3">
      <c r="A32" s="19" t="s">
        <v>394</v>
      </c>
      <c r="B32" s="19" t="s">
        <v>395</v>
      </c>
      <c r="C32" s="20" t="s">
        <v>403</v>
      </c>
      <c r="D32" s="21" t="s">
        <v>404</v>
      </c>
      <c r="E32" s="17">
        <v>2</v>
      </c>
      <c r="F32" s="18" t="s">
        <v>62</v>
      </c>
      <c r="G32" s="21" t="s">
        <v>398</v>
      </c>
      <c r="H32" s="21"/>
    </row>
    <row r="33" spans="1:8" ht="30" customHeight="1" x14ac:dyDescent="0.3">
      <c r="A33" s="14" t="s">
        <v>394</v>
      </c>
      <c r="B33" s="14" t="s">
        <v>395</v>
      </c>
      <c r="C33" s="15" t="s">
        <v>405</v>
      </c>
      <c r="D33" s="16" t="s">
        <v>406</v>
      </c>
      <c r="E33" s="23">
        <v>3</v>
      </c>
      <c r="F33" s="18" t="s">
        <v>62</v>
      </c>
      <c r="G33" s="16" t="s">
        <v>398</v>
      </c>
      <c r="H33" s="16"/>
    </row>
    <row r="34" spans="1:8" ht="30" customHeight="1" x14ac:dyDescent="0.3">
      <c r="A34" s="19" t="s">
        <v>394</v>
      </c>
      <c r="B34" s="19" t="s">
        <v>395</v>
      </c>
      <c r="C34" s="20" t="s">
        <v>407</v>
      </c>
      <c r="D34" s="21" t="s">
        <v>408</v>
      </c>
      <c r="E34" s="23">
        <v>3</v>
      </c>
      <c r="F34" s="18" t="s">
        <v>62</v>
      </c>
      <c r="G34" s="21" t="s">
        <v>398</v>
      </c>
      <c r="H34" s="21"/>
    </row>
    <row r="35" spans="1:8" ht="18" customHeight="1" x14ac:dyDescent="0.3">
      <c r="A35" s="13" t="s">
        <v>409</v>
      </c>
      <c r="B35" s="13" t="s">
        <v>410</v>
      </c>
      <c r="C35" s="13"/>
      <c r="D35" s="13"/>
      <c r="E35" s="13"/>
      <c r="F35" s="13"/>
      <c r="G35" s="13"/>
      <c r="H35" s="13"/>
    </row>
    <row r="36" spans="1:8" ht="30" customHeight="1" x14ac:dyDescent="0.3">
      <c r="A36" s="14" t="s">
        <v>409</v>
      </c>
      <c r="B36" s="14" t="s">
        <v>410</v>
      </c>
      <c r="C36" s="15" t="s">
        <v>411</v>
      </c>
      <c r="D36" s="16" t="s">
        <v>412</v>
      </c>
      <c r="E36" s="17">
        <v>2</v>
      </c>
      <c r="F36" s="18" t="s">
        <v>62</v>
      </c>
      <c r="G36" s="16" t="s">
        <v>413</v>
      </c>
      <c r="H36" s="16"/>
    </row>
    <row r="37" spans="1:8" ht="30" customHeight="1" x14ac:dyDescent="0.3">
      <c r="A37" s="19" t="s">
        <v>409</v>
      </c>
      <c r="B37" s="19" t="s">
        <v>410</v>
      </c>
      <c r="C37" s="20" t="s">
        <v>414</v>
      </c>
      <c r="D37" s="21" t="s">
        <v>415</v>
      </c>
      <c r="E37" s="17">
        <v>2</v>
      </c>
      <c r="F37" s="18" t="s">
        <v>62</v>
      </c>
      <c r="G37" s="21" t="s">
        <v>413</v>
      </c>
      <c r="H37" s="21"/>
    </row>
    <row r="38" spans="1:8" ht="30" customHeight="1" x14ac:dyDescent="0.3">
      <c r="A38" s="14" t="s">
        <v>409</v>
      </c>
      <c r="B38" s="14" t="s">
        <v>410</v>
      </c>
      <c r="C38" s="15" t="s">
        <v>416</v>
      </c>
      <c r="D38" s="16" t="s">
        <v>417</v>
      </c>
      <c r="E38" s="17">
        <v>2</v>
      </c>
      <c r="F38" s="18" t="s">
        <v>62</v>
      </c>
      <c r="G38" s="16" t="s">
        <v>413</v>
      </c>
      <c r="H38" s="16"/>
    </row>
    <row r="39" spans="1:8" ht="30" customHeight="1" x14ac:dyDescent="0.3">
      <c r="A39" s="19" t="s">
        <v>409</v>
      </c>
      <c r="B39" s="19" t="s">
        <v>410</v>
      </c>
      <c r="C39" s="20" t="s">
        <v>418</v>
      </c>
      <c r="D39" s="21" t="s">
        <v>419</v>
      </c>
      <c r="E39" s="17">
        <v>2</v>
      </c>
      <c r="F39" s="18" t="s">
        <v>62</v>
      </c>
      <c r="G39" s="21" t="s">
        <v>413</v>
      </c>
      <c r="H39" s="21"/>
    </row>
    <row r="40" spans="1:8" ht="30" customHeight="1" x14ac:dyDescent="0.3">
      <c r="A40" s="14" t="s">
        <v>409</v>
      </c>
      <c r="B40" s="14" t="s">
        <v>410</v>
      </c>
      <c r="C40" s="15" t="s">
        <v>420</v>
      </c>
      <c r="D40" s="16" t="s">
        <v>421</v>
      </c>
      <c r="E40" s="17">
        <v>2</v>
      </c>
      <c r="F40" s="18" t="s">
        <v>62</v>
      </c>
      <c r="G40" s="16" t="s">
        <v>413</v>
      </c>
      <c r="H40" s="16"/>
    </row>
    <row r="41" spans="1:8" ht="30" customHeight="1" x14ac:dyDescent="0.3">
      <c r="A41" s="19" t="s">
        <v>409</v>
      </c>
      <c r="B41" s="19" t="s">
        <v>410</v>
      </c>
      <c r="C41" s="20" t="s">
        <v>422</v>
      </c>
      <c r="D41" s="21" t="s">
        <v>423</v>
      </c>
      <c r="E41" s="23">
        <v>3</v>
      </c>
      <c r="F41" s="18" t="s">
        <v>62</v>
      </c>
      <c r="G41" s="21" t="s">
        <v>413</v>
      </c>
      <c r="H41" s="21"/>
    </row>
    <row r="42" spans="1:8" ht="30" customHeight="1" x14ac:dyDescent="0.3">
      <c r="A42" s="14" t="s">
        <v>409</v>
      </c>
      <c r="B42" s="14" t="s">
        <v>410</v>
      </c>
      <c r="C42" s="15" t="s">
        <v>424</v>
      </c>
      <c r="D42" s="16" t="s">
        <v>425</v>
      </c>
      <c r="E42" s="23">
        <v>3</v>
      </c>
      <c r="F42" s="18" t="s">
        <v>62</v>
      </c>
      <c r="G42" s="16" t="s">
        <v>413</v>
      </c>
      <c r="H42" s="16"/>
    </row>
    <row r="43" spans="1:8" ht="30" customHeight="1" x14ac:dyDescent="0.3">
      <c r="A43" s="19" t="s">
        <v>409</v>
      </c>
      <c r="B43" s="19" t="s">
        <v>410</v>
      </c>
      <c r="C43" s="20" t="s">
        <v>426</v>
      </c>
      <c r="D43" s="21" t="s">
        <v>427</v>
      </c>
      <c r="E43" s="23">
        <v>3</v>
      </c>
      <c r="F43" s="18" t="s">
        <v>62</v>
      </c>
      <c r="G43" s="21" t="s">
        <v>413</v>
      </c>
      <c r="H43" s="21"/>
    </row>
    <row r="44" spans="1:8" ht="18" customHeight="1" x14ac:dyDescent="0.3">
      <c r="A44" s="13" t="s">
        <v>428</v>
      </c>
      <c r="B44" s="13" t="s">
        <v>429</v>
      </c>
      <c r="C44" s="13"/>
      <c r="D44" s="13"/>
      <c r="E44" s="13"/>
      <c r="F44" s="13"/>
      <c r="G44" s="13"/>
      <c r="H44" s="13"/>
    </row>
    <row r="45" spans="1:8" ht="30" customHeight="1" x14ac:dyDescent="0.3">
      <c r="A45" s="14" t="s">
        <v>428</v>
      </c>
      <c r="B45" s="14" t="s">
        <v>429</v>
      </c>
      <c r="C45" s="15" t="s">
        <v>430</v>
      </c>
      <c r="D45" s="16" t="s">
        <v>431</v>
      </c>
      <c r="E45" s="17">
        <v>2</v>
      </c>
      <c r="F45" s="18" t="s">
        <v>62</v>
      </c>
      <c r="G45" s="16" t="s">
        <v>432</v>
      </c>
      <c r="H45" s="16"/>
    </row>
    <row r="46" spans="1:8" ht="30" customHeight="1" x14ac:dyDescent="0.3">
      <c r="A46" s="19" t="s">
        <v>428</v>
      </c>
      <c r="B46" s="19" t="s">
        <v>429</v>
      </c>
      <c r="C46" s="20" t="s">
        <v>433</v>
      </c>
      <c r="D46" s="21" t="s">
        <v>434</v>
      </c>
      <c r="E46" s="17">
        <v>2</v>
      </c>
      <c r="F46" s="18" t="s">
        <v>62</v>
      </c>
      <c r="G46" s="16" t="s">
        <v>432</v>
      </c>
      <c r="H46" s="21"/>
    </row>
    <row r="47" spans="1:8" ht="30" customHeight="1" x14ac:dyDescent="0.3">
      <c r="A47" s="14" t="s">
        <v>428</v>
      </c>
      <c r="B47" s="14" t="s">
        <v>429</v>
      </c>
      <c r="C47" s="15" t="s">
        <v>435</v>
      </c>
      <c r="D47" s="16" t="s">
        <v>436</v>
      </c>
      <c r="E47" s="17">
        <v>2</v>
      </c>
      <c r="F47" s="18" t="s">
        <v>62</v>
      </c>
      <c r="G47" s="16" t="s">
        <v>432</v>
      </c>
      <c r="H47" s="16"/>
    </row>
    <row r="48" spans="1:8" ht="30" customHeight="1" x14ac:dyDescent="0.3">
      <c r="A48" s="19" t="s">
        <v>428</v>
      </c>
      <c r="B48" s="19" t="s">
        <v>429</v>
      </c>
      <c r="C48" s="20" t="s">
        <v>437</v>
      </c>
      <c r="D48" s="21" t="s">
        <v>438</v>
      </c>
      <c r="E48" s="23">
        <v>3</v>
      </c>
      <c r="F48" s="18" t="s">
        <v>62</v>
      </c>
      <c r="G48" s="16" t="s">
        <v>432</v>
      </c>
      <c r="H48" s="21"/>
    </row>
    <row r="49" spans="1:8" ht="18" customHeight="1" x14ac:dyDescent="0.3">
      <c r="A49" s="13" t="s">
        <v>439</v>
      </c>
      <c r="B49" s="13" t="s">
        <v>440</v>
      </c>
      <c r="C49" s="13"/>
      <c r="D49" s="13"/>
      <c r="E49" s="13"/>
      <c r="F49" s="13"/>
      <c r="G49" s="13"/>
      <c r="H49" s="13"/>
    </row>
    <row r="50" spans="1:8" ht="30" customHeight="1" x14ac:dyDescent="0.3">
      <c r="A50" s="14" t="s">
        <v>439</v>
      </c>
      <c r="B50" s="14" t="s">
        <v>440</v>
      </c>
      <c r="C50" s="15" t="s">
        <v>441</v>
      </c>
      <c r="D50" s="16" t="s">
        <v>442</v>
      </c>
      <c r="E50" s="23">
        <v>3</v>
      </c>
      <c r="F50" s="18" t="s">
        <v>72</v>
      </c>
      <c r="G50" s="16" t="s">
        <v>443</v>
      </c>
      <c r="H50" s="26" t="s">
        <v>444</v>
      </c>
    </row>
    <row r="51" spans="1:8" ht="30" customHeight="1" x14ac:dyDescent="0.3">
      <c r="A51" s="19" t="s">
        <v>439</v>
      </c>
      <c r="B51" s="19" t="s">
        <v>440</v>
      </c>
      <c r="C51" s="20" t="s">
        <v>445</v>
      </c>
      <c r="D51" s="21" t="s">
        <v>446</v>
      </c>
      <c r="E51" s="23">
        <v>3</v>
      </c>
      <c r="F51" s="18" t="s">
        <v>62</v>
      </c>
      <c r="G51" s="21" t="s">
        <v>447</v>
      </c>
      <c r="H51" s="21"/>
    </row>
    <row r="52" spans="1:8" ht="18" customHeight="1" x14ac:dyDescent="0.3">
      <c r="A52" s="13" t="s">
        <v>448</v>
      </c>
      <c r="B52" s="13" t="s">
        <v>449</v>
      </c>
      <c r="C52" s="13"/>
      <c r="D52" s="13"/>
      <c r="E52" s="13"/>
      <c r="F52" s="13"/>
      <c r="G52" s="13"/>
      <c r="H52" s="13"/>
    </row>
    <row r="53" spans="1:8" ht="30" customHeight="1" x14ac:dyDescent="0.3">
      <c r="A53" s="14" t="s">
        <v>448</v>
      </c>
      <c r="B53" s="14" t="s">
        <v>449</v>
      </c>
      <c r="C53" s="15" t="s">
        <v>450</v>
      </c>
      <c r="D53" s="16" t="s">
        <v>451</v>
      </c>
      <c r="E53" s="17">
        <v>2</v>
      </c>
      <c r="F53" s="18" t="s">
        <v>62</v>
      </c>
      <c r="G53" s="16" t="s">
        <v>452</v>
      </c>
      <c r="H53" s="16"/>
    </row>
    <row r="54" spans="1:8" ht="30" customHeight="1" x14ac:dyDescent="0.3">
      <c r="A54" s="19" t="s">
        <v>448</v>
      </c>
      <c r="B54" s="19" t="s">
        <v>449</v>
      </c>
      <c r="C54" s="20" t="s">
        <v>453</v>
      </c>
      <c r="D54" s="21" t="s">
        <v>454</v>
      </c>
      <c r="E54" s="17">
        <v>2</v>
      </c>
      <c r="F54" s="18" t="s">
        <v>72</v>
      </c>
      <c r="G54" s="21" t="s">
        <v>455</v>
      </c>
      <c r="H54" s="24" t="s">
        <v>456</v>
      </c>
    </row>
    <row r="55" spans="1:8" ht="30" customHeight="1" x14ac:dyDescent="0.3">
      <c r="A55" s="14" t="s">
        <v>448</v>
      </c>
      <c r="B55" s="14" t="s">
        <v>449</v>
      </c>
      <c r="C55" s="15" t="s">
        <v>457</v>
      </c>
      <c r="D55" s="16" t="s">
        <v>458</v>
      </c>
      <c r="E55" s="17">
        <v>2</v>
      </c>
      <c r="F55" s="18" t="s">
        <v>62</v>
      </c>
      <c r="G55" s="16" t="s">
        <v>459</v>
      </c>
      <c r="H55" s="16"/>
    </row>
    <row r="56" spans="1:8" ht="30" customHeight="1" x14ac:dyDescent="0.3">
      <c r="A56" s="19" t="s">
        <v>448</v>
      </c>
      <c r="B56" s="19" t="s">
        <v>449</v>
      </c>
      <c r="C56" s="20" t="s">
        <v>460</v>
      </c>
      <c r="D56" s="21" t="s">
        <v>461</v>
      </c>
      <c r="E56" s="17">
        <v>2</v>
      </c>
      <c r="F56" s="18" t="s">
        <v>72</v>
      </c>
      <c r="G56" s="21" t="s">
        <v>999</v>
      </c>
      <c r="H56" s="21"/>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hyperlinks>
    <hyperlink ref="H3" r:id="rId1" xr:uid="{00000000-0004-0000-0600-000000000000}"/>
    <hyperlink ref="H7" r:id="rId2" xr:uid="{00000000-0004-0000-0600-000002000000}"/>
    <hyperlink ref="H20" r:id="rId3" xr:uid="{00000000-0004-0000-0600-000003000000}"/>
    <hyperlink ref="H27" r:id="rId4" xr:uid="{00000000-0004-0000-0600-000005000000}"/>
    <hyperlink ref="H50" r:id="rId5" xr:uid="{00000000-0004-0000-0600-000006000000}"/>
    <hyperlink ref="H54" r:id="rId6" xr:uid="{00000000-0004-0000-0600-000007000000}"/>
  </hyperlinks>
  <pageMargins left="0.75" right="0.75" top="1" bottom="1" header="0.51180555555555496" footer="0.51180555555555496"/>
  <pageSetup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zoomScale="110" zoomScaleNormal="110" workbookViewId="0">
      <pane ySplit="1" topLeftCell="A2" activePane="bottomLeft" state="frozen"/>
      <selection pane="bottomLeft" activeCell="H27" sqref="H27"/>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463</v>
      </c>
      <c r="B2" s="13" t="s">
        <v>464</v>
      </c>
      <c r="C2" s="13"/>
      <c r="D2" s="13"/>
      <c r="E2" s="13"/>
      <c r="F2" s="13"/>
      <c r="G2" s="13"/>
      <c r="H2" s="13"/>
    </row>
    <row r="3" spans="1:8" ht="30" customHeight="1" x14ac:dyDescent="0.3">
      <c r="A3" s="14" t="s">
        <v>463</v>
      </c>
      <c r="B3" s="14" t="s">
        <v>464</v>
      </c>
      <c r="C3" s="15" t="s">
        <v>465</v>
      </c>
      <c r="D3" s="16" t="s">
        <v>466</v>
      </c>
      <c r="E3" s="17">
        <v>2</v>
      </c>
      <c r="F3" s="18" t="s">
        <v>72</v>
      </c>
      <c r="G3" s="16" t="s">
        <v>1117</v>
      </c>
      <c r="H3" s="16" t="s">
        <v>467</v>
      </c>
    </row>
    <row r="4" spans="1:8" ht="30" customHeight="1" x14ac:dyDescent="0.3">
      <c r="A4" s="19" t="s">
        <v>463</v>
      </c>
      <c r="B4" s="19" t="s">
        <v>464</v>
      </c>
      <c r="C4" s="20" t="s">
        <v>468</v>
      </c>
      <c r="D4" s="21" t="s">
        <v>469</v>
      </c>
      <c r="E4" s="17">
        <v>2</v>
      </c>
      <c r="F4" s="18" t="s">
        <v>72</v>
      </c>
      <c r="G4" s="21" t="s">
        <v>1000</v>
      </c>
      <c r="H4" s="21" t="s">
        <v>470</v>
      </c>
    </row>
    <row r="5" spans="1:8" ht="30" customHeight="1" x14ac:dyDescent="0.3">
      <c r="A5" s="14" t="s">
        <v>463</v>
      </c>
      <c r="B5" s="14" t="s">
        <v>464</v>
      </c>
      <c r="C5" s="15" t="s">
        <v>471</v>
      </c>
      <c r="D5" s="16" t="s">
        <v>472</v>
      </c>
      <c r="E5" s="17">
        <v>2</v>
      </c>
      <c r="F5" s="18" t="s">
        <v>72</v>
      </c>
      <c r="G5" s="16" t="s">
        <v>1118</v>
      </c>
      <c r="H5" s="16" t="s">
        <v>1119</v>
      </c>
    </row>
    <row r="6" spans="1:8" ht="18" customHeight="1" x14ac:dyDescent="0.3">
      <c r="A6" s="13" t="s">
        <v>473</v>
      </c>
      <c r="B6" s="13" t="s">
        <v>474</v>
      </c>
      <c r="C6" s="13"/>
      <c r="D6" s="13"/>
      <c r="E6" s="13"/>
      <c r="F6" s="13"/>
      <c r="G6" s="13"/>
      <c r="H6" s="13"/>
    </row>
    <row r="7" spans="1:8" ht="30" customHeight="1" x14ac:dyDescent="0.3">
      <c r="A7" s="14" t="s">
        <v>473</v>
      </c>
      <c r="B7" s="14" t="s">
        <v>474</v>
      </c>
      <c r="C7" s="15" t="s">
        <v>475</v>
      </c>
      <c r="D7" s="16" t="s">
        <v>476</v>
      </c>
      <c r="E7" s="22">
        <v>1</v>
      </c>
      <c r="F7" s="18" t="s">
        <v>72</v>
      </c>
      <c r="G7" s="16" t="s">
        <v>1120</v>
      </c>
      <c r="H7" s="16" t="s">
        <v>1126</v>
      </c>
    </row>
    <row r="8" spans="1:8" ht="30" customHeight="1" x14ac:dyDescent="0.3">
      <c r="A8" s="19" t="s">
        <v>473</v>
      </c>
      <c r="B8" s="19" t="s">
        <v>474</v>
      </c>
      <c r="C8" s="20" t="s">
        <v>477</v>
      </c>
      <c r="D8" s="21" t="s">
        <v>478</v>
      </c>
      <c r="E8" s="22">
        <v>1</v>
      </c>
      <c r="F8" s="18" t="s">
        <v>72</v>
      </c>
      <c r="G8" s="21" t="s">
        <v>1121</v>
      </c>
      <c r="H8" s="21" t="s">
        <v>1127</v>
      </c>
    </row>
    <row r="9" spans="1:8" ht="30" customHeight="1" x14ac:dyDescent="0.3">
      <c r="A9" s="14" t="s">
        <v>473</v>
      </c>
      <c r="B9" s="14" t="s">
        <v>474</v>
      </c>
      <c r="C9" s="15" t="s">
        <v>479</v>
      </c>
      <c r="D9" s="16" t="s">
        <v>480</v>
      </c>
      <c r="E9" s="22">
        <v>1</v>
      </c>
      <c r="F9" s="18" t="s">
        <v>62</v>
      </c>
      <c r="G9" s="16" t="s">
        <v>481</v>
      </c>
      <c r="H9" s="16"/>
    </row>
    <row r="10" spans="1:8" ht="30" customHeight="1" x14ac:dyDescent="0.3">
      <c r="A10" s="19" t="s">
        <v>473</v>
      </c>
      <c r="B10" s="19" t="s">
        <v>474</v>
      </c>
      <c r="C10" s="20" t="s">
        <v>482</v>
      </c>
      <c r="D10" s="21" t="s">
        <v>483</v>
      </c>
      <c r="E10" s="22">
        <v>1</v>
      </c>
      <c r="F10" s="18" t="s">
        <v>72</v>
      </c>
      <c r="G10" s="21" t="s">
        <v>1122</v>
      </c>
      <c r="H10" s="21" t="s">
        <v>1128</v>
      </c>
    </row>
    <row r="11" spans="1:8" ht="18" customHeight="1" x14ac:dyDescent="0.3">
      <c r="A11" s="13" t="s">
        <v>484</v>
      </c>
      <c r="B11" s="13" t="s">
        <v>485</v>
      </c>
      <c r="C11" s="13"/>
      <c r="D11" s="13"/>
      <c r="E11" s="13"/>
      <c r="F11" s="13"/>
      <c r="G11" s="13"/>
      <c r="H11" s="13"/>
    </row>
    <row r="12" spans="1:8" ht="30" customHeight="1" x14ac:dyDescent="0.3">
      <c r="A12" s="14" t="s">
        <v>484</v>
      </c>
      <c r="B12" s="14" t="s">
        <v>485</v>
      </c>
      <c r="C12" s="15" t="s">
        <v>486</v>
      </c>
      <c r="D12" s="16" t="s">
        <v>487</v>
      </c>
      <c r="E12" s="17">
        <v>2</v>
      </c>
      <c r="F12" s="18" t="s">
        <v>72</v>
      </c>
      <c r="G12" s="16" t="s">
        <v>1123</v>
      </c>
      <c r="H12" s="16" t="s">
        <v>1128</v>
      </c>
    </row>
    <row r="13" spans="1:8" ht="30" customHeight="1" x14ac:dyDescent="0.3">
      <c r="A13" s="19" t="s">
        <v>484</v>
      </c>
      <c r="B13" s="19" t="s">
        <v>485</v>
      </c>
      <c r="C13" s="20" t="s">
        <v>488</v>
      </c>
      <c r="D13" s="21" t="s">
        <v>489</v>
      </c>
      <c r="E13" s="17">
        <v>2</v>
      </c>
      <c r="F13" s="18" t="s">
        <v>72</v>
      </c>
      <c r="G13" s="21" t="s">
        <v>1124</v>
      </c>
      <c r="H13" s="21" t="s">
        <v>1128</v>
      </c>
    </row>
    <row r="14" spans="1:8" ht="18" customHeight="1" x14ac:dyDescent="0.3">
      <c r="A14" s="13" t="s">
        <v>490</v>
      </c>
      <c r="B14" s="13" t="s">
        <v>491</v>
      </c>
      <c r="C14" s="13"/>
      <c r="D14" s="13"/>
      <c r="E14" s="13"/>
      <c r="F14" s="13"/>
      <c r="G14" s="13"/>
      <c r="H14" s="13"/>
    </row>
    <row r="15" spans="1:8" ht="30" customHeight="1" x14ac:dyDescent="0.3">
      <c r="A15" s="14" t="s">
        <v>490</v>
      </c>
      <c r="B15" s="14" t="s">
        <v>491</v>
      </c>
      <c r="C15" s="15" t="s">
        <v>492</v>
      </c>
      <c r="D15" s="16" t="s">
        <v>493</v>
      </c>
      <c r="E15" s="22">
        <v>1</v>
      </c>
      <c r="F15" s="18" t="s">
        <v>72</v>
      </c>
      <c r="G15" s="16" t="s">
        <v>1125</v>
      </c>
      <c r="H15" s="16" t="s">
        <v>1128</v>
      </c>
    </row>
    <row r="16" spans="1:8" ht="30" customHeight="1" x14ac:dyDescent="0.3">
      <c r="A16" s="19" t="s">
        <v>490</v>
      </c>
      <c r="B16" s="19" t="s">
        <v>491</v>
      </c>
      <c r="C16" s="20" t="s">
        <v>494</v>
      </c>
      <c r="D16" s="21" t="s">
        <v>495</v>
      </c>
      <c r="E16" s="22">
        <v>1</v>
      </c>
      <c r="F16" s="18" t="s">
        <v>62</v>
      </c>
      <c r="G16" s="21" t="s">
        <v>496</v>
      </c>
      <c r="H16" s="21"/>
    </row>
    <row r="17" spans="1:8" ht="30" customHeight="1" x14ac:dyDescent="0.3">
      <c r="A17" s="14" t="s">
        <v>490</v>
      </c>
      <c r="B17" s="14" t="s">
        <v>491</v>
      </c>
      <c r="C17" s="15" t="s">
        <v>497</v>
      </c>
      <c r="D17" s="16" t="s">
        <v>498</v>
      </c>
      <c r="E17" s="17">
        <v>2</v>
      </c>
      <c r="F17" s="18" t="s">
        <v>62</v>
      </c>
      <c r="G17" s="16" t="s">
        <v>499</v>
      </c>
      <c r="H17" s="16"/>
    </row>
    <row r="18" spans="1:8" ht="30" customHeight="1" x14ac:dyDescent="0.3">
      <c r="A18" s="19" t="s">
        <v>490</v>
      </c>
      <c r="B18" s="19" t="s">
        <v>491</v>
      </c>
      <c r="C18" s="20" t="s">
        <v>500</v>
      </c>
      <c r="D18" s="21" t="s">
        <v>501</v>
      </c>
      <c r="E18" s="17">
        <v>2</v>
      </c>
      <c r="F18" s="18" t="s">
        <v>62</v>
      </c>
      <c r="G18" s="21" t="s">
        <v>502</v>
      </c>
      <c r="H18" s="21"/>
    </row>
    <row r="19" spans="1:8" ht="30" customHeight="1" x14ac:dyDescent="0.3">
      <c r="A19" s="14" t="s">
        <v>490</v>
      </c>
      <c r="B19" s="14" t="s">
        <v>491</v>
      </c>
      <c r="C19" s="15" t="s">
        <v>503</v>
      </c>
      <c r="D19" s="16" t="s">
        <v>504</v>
      </c>
      <c r="E19" s="17">
        <v>2</v>
      </c>
      <c r="F19" s="18" t="s">
        <v>62</v>
      </c>
      <c r="G19" s="16" t="s">
        <v>505</v>
      </c>
      <c r="H19" s="16"/>
    </row>
    <row r="20" spans="1:8" ht="18" customHeight="1" x14ac:dyDescent="0.3">
      <c r="A20" s="13" t="s">
        <v>506</v>
      </c>
      <c r="B20" s="13" t="s">
        <v>507</v>
      </c>
      <c r="C20" s="13"/>
      <c r="D20" s="13"/>
      <c r="E20" s="13"/>
      <c r="F20" s="13"/>
      <c r="G20" s="13"/>
      <c r="H20" s="13"/>
    </row>
    <row r="21" spans="1:8" ht="30" customHeight="1" x14ac:dyDescent="0.3">
      <c r="A21" s="14" t="s">
        <v>506</v>
      </c>
      <c r="B21" s="14" t="s">
        <v>507</v>
      </c>
      <c r="C21" s="15" t="s">
        <v>508</v>
      </c>
      <c r="D21" s="16" t="s">
        <v>509</v>
      </c>
      <c r="E21" s="17">
        <v>2</v>
      </c>
      <c r="F21" s="18" t="s">
        <v>62</v>
      </c>
      <c r="G21" s="16" t="s">
        <v>510</v>
      </c>
      <c r="H21" s="16"/>
    </row>
    <row r="22" spans="1:8" ht="30" customHeight="1" x14ac:dyDescent="0.3">
      <c r="A22" s="19" t="s">
        <v>506</v>
      </c>
      <c r="B22" s="19" t="s">
        <v>507</v>
      </c>
      <c r="C22" s="20" t="s">
        <v>511</v>
      </c>
      <c r="D22" s="21" t="s">
        <v>512</v>
      </c>
      <c r="E22" s="17">
        <v>2</v>
      </c>
      <c r="F22" s="18" t="s">
        <v>62</v>
      </c>
      <c r="G22" s="21" t="s">
        <v>505</v>
      </c>
      <c r="H22" s="21"/>
    </row>
    <row r="23" spans="1:8" ht="30" customHeight="1" x14ac:dyDescent="0.3">
      <c r="A23" s="14" t="s">
        <v>506</v>
      </c>
      <c r="B23" s="14" t="s">
        <v>507</v>
      </c>
      <c r="C23" s="15" t="s">
        <v>513</v>
      </c>
      <c r="D23" s="16" t="s">
        <v>514</v>
      </c>
      <c r="E23" s="23">
        <v>3</v>
      </c>
      <c r="F23" s="18" t="s">
        <v>62</v>
      </c>
      <c r="G23" s="16" t="s">
        <v>1129</v>
      </c>
      <c r="H23" s="16"/>
    </row>
    <row r="24" spans="1:8" ht="18" customHeight="1" x14ac:dyDescent="0.3">
      <c r="A24" s="13" t="s">
        <v>515</v>
      </c>
      <c r="B24" s="13" t="s">
        <v>516</v>
      </c>
      <c r="C24" s="13"/>
      <c r="D24" s="13"/>
      <c r="E24" s="13"/>
      <c r="F24" s="13"/>
      <c r="G24" s="13"/>
      <c r="H24" s="13"/>
    </row>
    <row r="25" spans="1:8" ht="30" customHeight="1" x14ac:dyDescent="0.3">
      <c r="A25" s="14" t="s">
        <v>515</v>
      </c>
      <c r="B25" s="14" t="s">
        <v>516</v>
      </c>
      <c r="C25" s="15" t="s">
        <v>517</v>
      </c>
      <c r="D25" s="16" t="s">
        <v>518</v>
      </c>
      <c r="E25" s="17">
        <v>2</v>
      </c>
      <c r="F25" s="18" t="s">
        <v>72</v>
      </c>
      <c r="G25" s="16" t="s">
        <v>1130</v>
      </c>
      <c r="H25" s="16" t="s">
        <v>1128</v>
      </c>
    </row>
    <row r="26" spans="1:8" ht="30" customHeight="1" x14ac:dyDescent="0.3">
      <c r="A26" s="19" t="s">
        <v>515</v>
      </c>
      <c r="B26" s="19" t="s">
        <v>516</v>
      </c>
      <c r="C26" s="20" t="s">
        <v>519</v>
      </c>
      <c r="D26" s="21" t="s">
        <v>520</v>
      </c>
      <c r="E26" s="17">
        <v>2</v>
      </c>
      <c r="F26" s="18" t="s">
        <v>72</v>
      </c>
      <c r="G26" s="21" t="s">
        <v>1131</v>
      </c>
      <c r="H26" s="21" t="s">
        <v>1128</v>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zoomScaleNormal="100" workbookViewId="0">
      <pane ySplit="1" topLeftCell="A3" activePane="bottomLeft" state="frozen"/>
      <selection pane="bottomLeft" activeCell="H15" sqref="H15"/>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521</v>
      </c>
      <c r="B2" s="13" t="s">
        <v>522</v>
      </c>
      <c r="C2" s="13"/>
      <c r="D2" s="13"/>
      <c r="E2" s="13"/>
      <c r="F2" s="13"/>
      <c r="G2" s="13"/>
      <c r="H2" s="13"/>
    </row>
    <row r="3" spans="1:8" ht="30" customHeight="1" x14ac:dyDescent="0.3">
      <c r="A3" s="14" t="s">
        <v>521</v>
      </c>
      <c r="B3" s="14" t="s">
        <v>522</v>
      </c>
      <c r="C3" s="15" t="s">
        <v>523</v>
      </c>
      <c r="D3" s="16" t="s">
        <v>524</v>
      </c>
      <c r="E3" s="22">
        <v>1</v>
      </c>
      <c r="F3" s="18" t="s">
        <v>72</v>
      </c>
      <c r="G3" s="16" t="s">
        <v>1132</v>
      </c>
      <c r="H3" s="16" t="s">
        <v>1133</v>
      </c>
    </row>
    <row r="4" spans="1:8" ht="30" customHeight="1" x14ac:dyDescent="0.3">
      <c r="A4" s="19" t="s">
        <v>521</v>
      </c>
      <c r="B4" s="19" t="s">
        <v>522</v>
      </c>
      <c r="C4" s="20" t="s">
        <v>525</v>
      </c>
      <c r="D4" s="21" t="s">
        <v>526</v>
      </c>
      <c r="E4" s="17">
        <v>2</v>
      </c>
      <c r="F4" s="18" t="s">
        <v>72</v>
      </c>
      <c r="G4" s="21" t="s">
        <v>1134</v>
      </c>
      <c r="H4" s="16" t="s">
        <v>1135</v>
      </c>
    </row>
    <row r="5" spans="1:8" ht="30" customHeight="1" x14ac:dyDescent="0.3">
      <c r="A5" s="14" t="s">
        <v>521</v>
      </c>
      <c r="B5" s="14" t="s">
        <v>522</v>
      </c>
      <c r="C5" s="15" t="s">
        <v>527</v>
      </c>
      <c r="D5" s="16" t="s">
        <v>528</v>
      </c>
      <c r="E5" s="23">
        <v>3</v>
      </c>
      <c r="F5" s="18" t="s">
        <v>62</v>
      </c>
      <c r="G5" s="16" t="s">
        <v>462</v>
      </c>
      <c r="H5" s="16"/>
    </row>
    <row r="6" spans="1:8" ht="30" customHeight="1" x14ac:dyDescent="0.3">
      <c r="A6" s="19" t="s">
        <v>521</v>
      </c>
      <c r="B6" s="19" t="s">
        <v>522</v>
      </c>
      <c r="C6" s="20" t="s">
        <v>529</v>
      </c>
      <c r="D6" s="21" t="s">
        <v>530</v>
      </c>
      <c r="E6" s="23">
        <v>3</v>
      </c>
      <c r="F6" s="18" t="s">
        <v>62</v>
      </c>
      <c r="G6" s="21" t="s">
        <v>531</v>
      </c>
      <c r="H6" s="21"/>
    </row>
    <row r="7" spans="1:8" ht="18" customHeight="1" x14ac:dyDescent="0.3">
      <c r="A7" s="13" t="s">
        <v>532</v>
      </c>
      <c r="B7" s="13" t="s">
        <v>533</v>
      </c>
      <c r="C7" s="13"/>
      <c r="D7" s="13"/>
      <c r="E7" s="13"/>
      <c r="F7" s="13"/>
      <c r="G7" s="13"/>
      <c r="H7" s="13"/>
    </row>
    <row r="8" spans="1:8" ht="30" customHeight="1" x14ac:dyDescent="0.3">
      <c r="A8" s="14" t="s">
        <v>532</v>
      </c>
      <c r="B8" s="14" t="s">
        <v>533</v>
      </c>
      <c r="C8" s="15" t="s">
        <v>534</v>
      </c>
      <c r="D8" s="16" t="s">
        <v>535</v>
      </c>
      <c r="E8" s="22">
        <v>1</v>
      </c>
      <c r="F8" s="18" t="s">
        <v>72</v>
      </c>
      <c r="G8" s="16" t="s">
        <v>1136</v>
      </c>
      <c r="H8" s="16" t="s">
        <v>1133</v>
      </c>
    </row>
    <row r="9" spans="1:8" ht="30" customHeight="1" x14ac:dyDescent="0.3">
      <c r="A9" s="19" t="s">
        <v>532</v>
      </c>
      <c r="B9" s="19" t="s">
        <v>533</v>
      </c>
      <c r="C9" s="20" t="s">
        <v>536</v>
      </c>
      <c r="D9" s="21" t="s">
        <v>537</v>
      </c>
      <c r="E9" s="22">
        <v>1</v>
      </c>
      <c r="F9" s="18" t="s">
        <v>72</v>
      </c>
      <c r="G9" s="21" t="s">
        <v>1137</v>
      </c>
      <c r="H9" s="21" t="s">
        <v>1135</v>
      </c>
    </row>
    <row r="10" spans="1:8" ht="30" customHeight="1" x14ac:dyDescent="0.3">
      <c r="A10" s="14" t="s">
        <v>532</v>
      </c>
      <c r="B10" s="14" t="s">
        <v>533</v>
      </c>
      <c r="C10" s="15" t="s">
        <v>539</v>
      </c>
      <c r="D10" s="16" t="s">
        <v>540</v>
      </c>
      <c r="E10" s="17">
        <v>2</v>
      </c>
      <c r="F10" s="18" t="s">
        <v>72</v>
      </c>
      <c r="G10" s="16" t="s">
        <v>1138</v>
      </c>
      <c r="H10" s="16" t="s">
        <v>1070</v>
      </c>
    </row>
    <row r="11" spans="1:8" ht="30" customHeight="1" x14ac:dyDescent="0.3">
      <c r="A11" s="19" t="s">
        <v>532</v>
      </c>
      <c r="B11" s="19" t="s">
        <v>533</v>
      </c>
      <c r="C11" s="20" t="s">
        <v>542</v>
      </c>
      <c r="D11" s="21" t="s">
        <v>543</v>
      </c>
      <c r="E11" s="23">
        <v>3</v>
      </c>
      <c r="F11" s="18" t="s">
        <v>62</v>
      </c>
      <c r="G11" s="21" t="s">
        <v>462</v>
      </c>
      <c r="H11" s="21"/>
    </row>
    <row r="12" spans="1:8" ht="18" customHeight="1" x14ac:dyDescent="0.3">
      <c r="A12" s="13" t="s">
        <v>544</v>
      </c>
      <c r="B12" s="13" t="s">
        <v>545</v>
      </c>
      <c r="C12" s="13"/>
      <c r="D12" s="13"/>
      <c r="E12" s="13"/>
      <c r="F12" s="13"/>
      <c r="G12" s="13"/>
      <c r="H12" s="13"/>
    </row>
    <row r="13" spans="1:8" ht="30" customHeight="1" x14ac:dyDescent="0.3">
      <c r="A13" s="14" t="s">
        <v>544</v>
      </c>
      <c r="B13" s="14" t="s">
        <v>545</v>
      </c>
      <c r="C13" s="15" t="s">
        <v>546</v>
      </c>
      <c r="D13" s="16" t="s">
        <v>547</v>
      </c>
      <c r="E13" s="22">
        <v>1</v>
      </c>
      <c r="F13" s="18" t="s">
        <v>72</v>
      </c>
      <c r="G13" s="16" t="s">
        <v>1139</v>
      </c>
      <c r="H13" s="16" t="s">
        <v>1140</v>
      </c>
    </row>
    <row r="14" spans="1:8" ht="30" customHeight="1" x14ac:dyDescent="0.3">
      <c r="A14" s="19" t="s">
        <v>544</v>
      </c>
      <c r="B14" s="19" t="s">
        <v>545</v>
      </c>
      <c r="C14" s="20" t="s">
        <v>548</v>
      </c>
      <c r="D14" s="21" t="s">
        <v>549</v>
      </c>
      <c r="E14" s="23">
        <v>3</v>
      </c>
      <c r="F14" s="18" t="s">
        <v>72</v>
      </c>
      <c r="G14" s="21" t="s">
        <v>1141</v>
      </c>
      <c r="H14" s="21" t="s">
        <v>1142</v>
      </c>
    </row>
    <row r="15" spans="1:8" ht="30" customHeight="1" x14ac:dyDescent="0.3">
      <c r="A15" s="14" t="s">
        <v>544</v>
      </c>
      <c r="B15" s="14" t="s">
        <v>545</v>
      </c>
      <c r="C15" s="15" t="s">
        <v>550</v>
      </c>
      <c r="D15" s="16" t="s">
        <v>551</v>
      </c>
      <c r="E15" s="23">
        <v>3</v>
      </c>
      <c r="F15" s="18" t="s">
        <v>62</v>
      </c>
      <c r="G15" s="16" t="s">
        <v>552</v>
      </c>
      <c r="H15" s="16"/>
    </row>
    <row r="16" spans="1:8" ht="18" customHeight="1" x14ac:dyDescent="0.3">
      <c r="A16" s="13" t="s">
        <v>553</v>
      </c>
      <c r="B16" s="13" t="s">
        <v>554</v>
      </c>
      <c r="C16" s="13"/>
      <c r="D16" s="13"/>
      <c r="E16" s="13"/>
      <c r="F16" s="13"/>
      <c r="G16" s="13"/>
      <c r="H16" s="13"/>
    </row>
    <row r="17" spans="1:8" ht="30" customHeight="1" x14ac:dyDescent="0.3">
      <c r="A17" s="14" t="s">
        <v>553</v>
      </c>
      <c r="B17" s="14" t="s">
        <v>554</v>
      </c>
      <c r="C17" s="15" t="s">
        <v>555</v>
      </c>
      <c r="D17" s="16" t="s">
        <v>556</v>
      </c>
      <c r="E17" s="17">
        <v>2</v>
      </c>
      <c r="F17" s="18" t="s">
        <v>62</v>
      </c>
      <c r="G17" s="16" t="s">
        <v>557</v>
      </c>
      <c r="H17" s="16"/>
    </row>
    <row r="18" spans="1:8" ht="30" customHeight="1" x14ac:dyDescent="0.3">
      <c r="A18" s="19" t="s">
        <v>553</v>
      </c>
      <c r="B18" s="19" t="s">
        <v>554</v>
      </c>
      <c r="C18" s="20" t="s">
        <v>558</v>
      </c>
      <c r="D18" s="21" t="s">
        <v>559</v>
      </c>
      <c r="E18" s="23">
        <v>3</v>
      </c>
      <c r="F18" s="18" t="s">
        <v>62</v>
      </c>
      <c r="G18" s="21" t="s">
        <v>560</v>
      </c>
      <c r="H18" s="21"/>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zoomScaleNormal="100" workbookViewId="0">
      <pane ySplit="1" topLeftCell="A2" activePane="bottomLeft" state="frozen"/>
      <selection pane="bottomLeft" activeCell="H11" sqref="H11"/>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561</v>
      </c>
      <c r="B2" s="13" t="s">
        <v>562</v>
      </c>
      <c r="C2" s="13"/>
      <c r="D2" s="13"/>
      <c r="E2" s="13"/>
      <c r="F2" s="13"/>
      <c r="G2" s="13"/>
      <c r="H2" s="13"/>
    </row>
    <row r="3" spans="1:8" ht="30" customHeight="1" x14ac:dyDescent="0.3">
      <c r="A3" s="14" t="s">
        <v>561</v>
      </c>
      <c r="B3" s="14" t="s">
        <v>562</v>
      </c>
      <c r="C3" s="15" t="s">
        <v>563</v>
      </c>
      <c r="D3" s="16" t="s">
        <v>564</v>
      </c>
      <c r="E3" s="22">
        <v>1</v>
      </c>
      <c r="F3" s="18" t="s">
        <v>72</v>
      </c>
      <c r="G3" s="16" t="s">
        <v>1143</v>
      </c>
      <c r="H3" s="16" t="s">
        <v>565</v>
      </c>
    </row>
    <row r="4" spans="1:8" ht="30" customHeight="1" x14ac:dyDescent="0.3">
      <c r="A4" s="19" t="s">
        <v>561</v>
      </c>
      <c r="B4" s="19" t="s">
        <v>562</v>
      </c>
      <c r="C4" s="20" t="s">
        <v>566</v>
      </c>
      <c r="D4" s="21" t="s">
        <v>567</v>
      </c>
      <c r="E4" s="22">
        <v>1</v>
      </c>
      <c r="F4" s="18" t="s">
        <v>72</v>
      </c>
      <c r="G4" s="21" t="s">
        <v>1144</v>
      </c>
      <c r="H4" s="21" t="s">
        <v>568</v>
      </c>
    </row>
    <row r="5" spans="1:8" ht="30" customHeight="1" x14ac:dyDescent="0.3">
      <c r="A5" s="14" t="s">
        <v>561</v>
      </c>
      <c r="B5" s="14" t="s">
        <v>562</v>
      </c>
      <c r="C5" s="15" t="s">
        <v>569</v>
      </c>
      <c r="D5" s="16" t="s">
        <v>570</v>
      </c>
      <c r="E5" s="22">
        <v>1</v>
      </c>
      <c r="F5" s="18" t="s">
        <v>72</v>
      </c>
      <c r="G5" s="16" t="s">
        <v>1145</v>
      </c>
      <c r="H5" s="16" t="s">
        <v>571</v>
      </c>
    </row>
    <row r="6" spans="1:8" ht="18" customHeight="1" x14ac:dyDescent="0.3">
      <c r="A6" s="13" t="s">
        <v>572</v>
      </c>
      <c r="B6" s="13" t="s">
        <v>573</v>
      </c>
      <c r="C6" s="13"/>
      <c r="D6" s="13"/>
      <c r="E6" s="13"/>
      <c r="F6" s="13"/>
      <c r="G6" s="13"/>
      <c r="H6" s="13"/>
    </row>
    <row r="7" spans="1:8" ht="30" customHeight="1" x14ac:dyDescent="0.3">
      <c r="A7" s="14" t="s">
        <v>572</v>
      </c>
      <c r="B7" s="14" t="s">
        <v>573</v>
      </c>
      <c r="C7" s="15" t="s">
        <v>574</v>
      </c>
      <c r="D7" s="16" t="s">
        <v>575</v>
      </c>
      <c r="E7" s="22">
        <v>1</v>
      </c>
      <c r="F7" s="18" t="s">
        <v>72</v>
      </c>
      <c r="G7" s="16" t="s">
        <v>1146</v>
      </c>
      <c r="H7" s="16" t="s">
        <v>1147</v>
      </c>
    </row>
    <row r="8" spans="1:8" ht="30" customHeight="1" x14ac:dyDescent="0.3">
      <c r="A8" s="19" t="s">
        <v>572</v>
      </c>
      <c r="B8" s="19" t="s">
        <v>573</v>
      </c>
      <c r="C8" s="20" t="s">
        <v>576</v>
      </c>
      <c r="D8" s="21" t="s">
        <v>577</v>
      </c>
      <c r="E8" s="17">
        <v>2</v>
      </c>
      <c r="F8" s="18" t="s">
        <v>72</v>
      </c>
      <c r="G8" s="21" t="s">
        <v>1148</v>
      </c>
      <c r="H8" s="21" t="s">
        <v>1149</v>
      </c>
    </row>
    <row r="9" spans="1:8" ht="30" customHeight="1" x14ac:dyDescent="0.3">
      <c r="A9" s="14" t="s">
        <v>572</v>
      </c>
      <c r="B9" s="14" t="s">
        <v>573</v>
      </c>
      <c r="C9" s="15" t="s">
        <v>578</v>
      </c>
      <c r="D9" s="16" t="s">
        <v>579</v>
      </c>
      <c r="E9" s="17">
        <v>2</v>
      </c>
      <c r="F9" s="18" t="s">
        <v>72</v>
      </c>
      <c r="G9" s="16" t="s">
        <v>1150</v>
      </c>
      <c r="H9" s="16" t="s">
        <v>1151</v>
      </c>
    </row>
    <row r="10" spans="1:8" ht="30" customHeight="1" x14ac:dyDescent="0.3">
      <c r="A10" s="19" t="s">
        <v>572</v>
      </c>
      <c r="B10" s="19" t="s">
        <v>573</v>
      </c>
      <c r="C10" s="20" t="s">
        <v>581</v>
      </c>
      <c r="D10" s="21" t="s">
        <v>582</v>
      </c>
      <c r="E10" s="17">
        <v>2</v>
      </c>
      <c r="F10" s="18" t="s">
        <v>72</v>
      </c>
      <c r="G10" s="21" t="s">
        <v>1152</v>
      </c>
      <c r="H10" s="21" t="s">
        <v>1153</v>
      </c>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4"/>
  <sheetViews>
    <sheetView zoomScale="105" zoomScaleNormal="75" workbookViewId="0">
      <pane ySplit="1" topLeftCell="A30" activePane="bottomLeft" state="frozen"/>
      <selection pane="bottomLeft" activeCell="I34" sqref="I34"/>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583</v>
      </c>
      <c r="B2" s="13" t="s">
        <v>584</v>
      </c>
      <c r="C2" s="13"/>
      <c r="D2" s="13"/>
      <c r="E2" s="13"/>
      <c r="F2" s="13"/>
      <c r="G2" s="13"/>
      <c r="H2" s="13"/>
    </row>
    <row r="3" spans="1:8" ht="30" customHeight="1" x14ac:dyDescent="0.3">
      <c r="A3" s="14" t="s">
        <v>583</v>
      </c>
      <c r="B3" s="14" t="s">
        <v>584</v>
      </c>
      <c r="C3" s="15" t="s">
        <v>585</v>
      </c>
      <c r="D3" s="16" t="s">
        <v>586</v>
      </c>
      <c r="E3" s="17">
        <v>2</v>
      </c>
      <c r="F3" s="18" t="s">
        <v>72</v>
      </c>
      <c r="G3" s="16" t="s">
        <v>1154</v>
      </c>
      <c r="H3" s="16" t="s">
        <v>1149</v>
      </c>
    </row>
    <row r="4" spans="1:8" ht="30" customHeight="1" x14ac:dyDescent="0.3">
      <c r="A4" s="19" t="s">
        <v>583</v>
      </c>
      <c r="B4" s="19" t="s">
        <v>584</v>
      </c>
      <c r="C4" s="20" t="s">
        <v>587</v>
      </c>
      <c r="D4" s="21" t="s">
        <v>588</v>
      </c>
      <c r="E4" s="17">
        <v>2</v>
      </c>
      <c r="F4" s="18" t="s">
        <v>62</v>
      </c>
      <c r="G4" s="21" t="s">
        <v>1040</v>
      </c>
      <c r="H4" s="21"/>
    </row>
    <row r="5" spans="1:8" ht="18" customHeight="1" x14ac:dyDescent="0.3">
      <c r="A5" s="13" t="s">
        <v>589</v>
      </c>
      <c r="B5" s="13" t="s">
        <v>590</v>
      </c>
      <c r="C5" s="13"/>
      <c r="D5" s="13"/>
      <c r="E5" s="13"/>
      <c r="F5" s="13"/>
      <c r="G5" s="13"/>
      <c r="H5" s="13"/>
    </row>
    <row r="6" spans="1:8" ht="30" customHeight="1" x14ac:dyDescent="0.3">
      <c r="A6" s="14" t="s">
        <v>589</v>
      </c>
      <c r="B6" s="14" t="s">
        <v>590</v>
      </c>
      <c r="C6" s="15" t="s">
        <v>591</v>
      </c>
      <c r="D6" s="16" t="s">
        <v>592</v>
      </c>
      <c r="E6" s="17">
        <v>2</v>
      </c>
      <c r="F6" s="18" t="s">
        <v>62</v>
      </c>
      <c r="G6" s="16" t="s">
        <v>593</v>
      </c>
      <c r="H6" s="16"/>
    </row>
    <row r="7" spans="1:8" ht="30" customHeight="1" x14ac:dyDescent="0.3">
      <c r="A7" s="19" t="s">
        <v>589</v>
      </c>
      <c r="B7" s="19" t="s">
        <v>590</v>
      </c>
      <c r="C7" s="20" t="s">
        <v>594</v>
      </c>
      <c r="D7" s="21" t="s">
        <v>595</v>
      </c>
      <c r="E7" s="17">
        <v>2</v>
      </c>
      <c r="F7" s="18" t="s">
        <v>62</v>
      </c>
      <c r="G7" s="21" t="s">
        <v>596</v>
      </c>
      <c r="H7" s="21"/>
    </row>
    <row r="8" spans="1:8" ht="30" customHeight="1" x14ac:dyDescent="0.3">
      <c r="A8" s="14" t="s">
        <v>589</v>
      </c>
      <c r="B8" s="14" t="s">
        <v>590</v>
      </c>
      <c r="C8" s="15" t="s">
        <v>597</v>
      </c>
      <c r="D8" s="16" t="s">
        <v>598</v>
      </c>
      <c r="E8" s="23">
        <v>3</v>
      </c>
      <c r="F8" s="18" t="s">
        <v>62</v>
      </c>
      <c r="G8" s="16" t="s">
        <v>1001</v>
      </c>
      <c r="H8" s="16"/>
    </row>
    <row r="9" spans="1:8" ht="18" customHeight="1" x14ac:dyDescent="0.3">
      <c r="A9" s="13" t="s">
        <v>599</v>
      </c>
      <c r="B9" s="13" t="s">
        <v>600</v>
      </c>
      <c r="C9" s="13"/>
      <c r="D9" s="13"/>
      <c r="E9" s="13"/>
      <c r="F9" s="13"/>
      <c r="G9" s="13"/>
      <c r="H9" s="13"/>
    </row>
    <row r="10" spans="1:8" ht="30" customHeight="1" x14ac:dyDescent="0.3">
      <c r="A10" s="14" t="s">
        <v>599</v>
      </c>
      <c r="B10" s="14" t="s">
        <v>600</v>
      </c>
      <c r="C10" s="15" t="s">
        <v>601</v>
      </c>
      <c r="D10" s="16" t="s">
        <v>602</v>
      </c>
      <c r="E10" s="17">
        <v>2</v>
      </c>
      <c r="F10" s="18" t="s">
        <v>72</v>
      </c>
      <c r="G10" s="16" t="s">
        <v>1155</v>
      </c>
      <c r="H10" s="16" t="s">
        <v>1156</v>
      </c>
    </row>
    <row r="11" spans="1:8" ht="30" customHeight="1" x14ac:dyDescent="0.3">
      <c r="A11" s="19" t="s">
        <v>599</v>
      </c>
      <c r="B11" s="19" t="s">
        <v>600</v>
      </c>
      <c r="C11" s="20" t="s">
        <v>603</v>
      </c>
      <c r="D11" s="21" t="s">
        <v>604</v>
      </c>
      <c r="E11" s="17">
        <v>2</v>
      </c>
      <c r="F11" s="18" t="s">
        <v>72</v>
      </c>
      <c r="G11" s="21" t="s">
        <v>1157</v>
      </c>
      <c r="H11" s="21" t="s">
        <v>1158</v>
      </c>
    </row>
    <row r="12" spans="1:8" ht="30" customHeight="1" x14ac:dyDescent="0.3">
      <c r="A12" s="14" t="s">
        <v>599</v>
      </c>
      <c r="B12" s="14" t="s">
        <v>600</v>
      </c>
      <c r="C12" s="15" t="s">
        <v>605</v>
      </c>
      <c r="D12" s="16" t="s">
        <v>606</v>
      </c>
      <c r="E12" s="17">
        <v>2</v>
      </c>
      <c r="F12" s="18" t="s">
        <v>72</v>
      </c>
      <c r="G12" s="16" t="s">
        <v>1159</v>
      </c>
      <c r="H12" s="16" t="s">
        <v>1160</v>
      </c>
    </row>
    <row r="13" spans="1:8" ht="30" customHeight="1" x14ac:dyDescent="0.3">
      <c r="A13" s="19" t="s">
        <v>599</v>
      </c>
      <c r="B13" s="19" t="s">
        <v>600</v>
      </c>
      <c r="C13" s="20" t="s">
        <v>607</v>
      </c>
      <c r="D13" s="21" t="s">
        <v>608</v>
      </c>
      <c r="E13" s="17">
        <v>2</v>
      </c>
      <c r="F13" s="18" t="s">
        <v>62</v>
      </c>
      <c r="G13" s="21" t="s">
        <v>609</v>
      </c>
      <c r="H13" s="21"/>
    </row>
    <row r="14" spans="1:8" ht="30" customHeight="1" x14ac:dyDescent="0.3">
      <c r="A14" s="14" t="s">
        <v>599</v>
      </c>
      <c r="B14" s="14" t="s">
        <v>600</v>
      </c>
      <c r="C14" s="15" t="s">
        <v>610</v>
      </c>
      <c r="D14" s="16" t="s">
        <v>611</v>
      </c>
      <c r="E14" s="23">
        <v>3</v>
      </c>
      <c r="F14" s="18" t="s">
        <v>62</v>
      </c>
      <c r="G14" s="16" t="s">
        <v>612</v>
      </c>
      <c r="H14" s="16"/>
    </row>
    <row r="15" spans="1:8" ht="18" customHeight="1" x14ac:dyDescent="0.3">
      <c r="A15" s="13" t="s">
        <v>613</v>
      </c>
      <c r="B15" s="13" t="s">
        <v>614</v>
      </c>
      <c r="C15" s="13"/>
      <c r="D15" s="13"/>
      <c r="E15" s="13"/>
      <c r="F15" s="13"/>
      <c r="G15" s="13"/>
      <c r="H15" s="13"/>
    </row>
    <row r="16" spans="1:8" ht="30" customHeight="1" x14ac:dyDescent="0.3">
      <c r="A16" s="14" t="s">
        <v>613</v>
      </c>
      <c r="B16" s="14" t="s">
        <v>614</v>
      </c>
      <c r="C16" s="15" t="s">
        <v>615</v>
      </c>
      <c r="D16" s="16" t="s">
        <v>616</v>
      </c>
      <c r="E16" s="22">
        <v>1</v>
      </c>
      <c r="F16" s="18" t="s">
        <v>62</v>
      </c>
      <c r="G16" s="16" t="s">
        <v>1041</v>
      </c>
      <c r="H16" s="29"/>
    </row>
    <row r="17" spans="1:9" ht="30" customHeight="1" x14ac:dyDescent="0.3">
      <c r="A17" s="19" t="s">
        <v>613</v>
      </c>
      <c r="B17" s="19" t="s">
        <v>614</v>
      </c>
      <c r="C17" s="20" t="s">
        <v>617</v>
      </c>
      <c r="D17" s="21" t="s">
        <v>618</v>
      </c>
      <c r="E17" s="22">
        <v>1</v>
      </c>
      <c r="F17" s="18" t="s">
        <v>62</v>
      </c>
      <c r="G17" s="21" t="s">
        <v>1043</v>
      </c>
      <c r="H17" s="29" t="s">
        <v>619</v>
      </c>
      <c r="I17" t="s">
        <v>1042</v>
      </c>
    </row>
    <row r="18" spans="1:9" ht="30" customHeight="1" x14ac:dyDescent="0.3">
      <c r="A18" s="14" t="s">
        <v>613</v>
      </c>
      <c r="B18" s="14" t="s">
        <v>614</v>
      </c>
      <c r="C18" s="15" t="s">
        <v>620</v>
      </c>
      <c r="D18" s="16" t="s">
        <v>621</v>
      </c>
      <c r="E18" s="22">
        <v>1</v>
      </c>
      <c r="F18" s="18" t="s">
        <v>62</v>
      </c>
      <c r="G18" s="16" t="s">
        <v>1044</v>
      </c>
      <c r="H18" s="29" t="s">
        <v>619</v>
      </c>
    </row>
    <row r="19" spans="1:9" ht="30" customHeight="1" x14ac:dyDescent="0.3">
      <c r="A19" s="19" t="s">
        <v>613</v>
      </c>
      <c r="B19" s="19" t="s">
        <v>614</v>
      </c>
      <c r="C19" s="20" t="s">
        <v>622</v>
      </c>
      <c r="D19" s="21" t="s">
        <v>623</v>
      </c>
      <c r="E19" s="22">
        <v>1</v>
      </c>
      <c r="F19" s="18" t="s">
        <v>62</v>
      </c>
      <c r="G19" s="21"/>
      <c r="H19" s="29"/>
    </row>
    <row r="20" spans="1:9" ht="30" customHeight="1" x14ac:dyDescent="0.3">
      <c r="A20" s="14" t="s">
        <v>613</v>
      </c>
      <c r="B20" s="14" t="s">
        <v>614</v>
      </c>
      <c r="C20" s="15" t="s">
        <v>624</v>
      </c>
      <c r="D20" s="16" t="s">
        <v>625</v>
      </c>
      <c r="E20" s="22">
        <v>1</v>
      </c>
      <c r="F20" s="18" t="s">
        <v>62</v>
      </c>
      <c r="G20" s="16"/>
      <c r="H20" s="29"/>
    </row>
    <row r="21" spans="1:9" ht="30" customHeight="1" x14ac:dyDescent="0.3">
      <c r="A21" s="19" t="s">
        <v>613</v>
      </c>
      <c r="B21" s="19" t="s">
        <v>614</v>
      </c>
      <c r="C21" s="20" t="s">
        <v>626</v>
      </c>
      <c r="D21" s="21" t="s">
        <v>627</v>
      </c>
      <c r="E21" s="17">
        <v>2</v>
      </c>
      <c r="F21" s="18" t="s">
        <v>62</v>
      </c>
      <c r="G21" s="21" t="s">
        <v>1045</v>
      </c>
      <c r="H21" s="29"/>
    </row>
    <row r="22" spans="1:9" ht="30" customHeight="1" x14ac:dyDescent="0.3">
      <c r="A22" s="14" t="s">
        <v>613</v>
      </c>
      <c r="B22" s="14" t="s">
        <v>614</v>
      </c>
      <c r="C22" s="15" t="s">
        <v>628</v>
      </c>
      <c r="D22" s="16" t="s">
        <v>629</v>
      </c>
      <c r="E22" s="17">
        <v>2</v>
      </c>
      <c r="F22" s="18" t="s">
        <v>62</v>
      </c>
      <c r="G22" s="16" t="s">
        <v>630</v>
      </c>
      <c r="H22" s="16"/>
    </row>
    <row r="23" spans="1:9" ht="30" customHeight="1" x14ac:dyDescent="0.3">
      <c r="A23" s="19" t="s">
        <v>613</v>
      </c>
      <c r="B23" s="19" t="s">
        <v>614</v>
      </c>
      <c r="C23" s="20" t="s">
        <v>631</v>
      </c>
      <c r="D23" s="21" t="s">
        <v>632</v>
      </c>
      <c r="E23" s="17">
        <v>2</v>
      </c>
      <c r="F23" s="18" t="s">
        <v>62</v>
      </c>
      <c r="G23" s="21"/>
      <c r="H23" s="29"/>
    </row>
    <row r="24" spans="1:9" ht="30" customHeight="1" x14ac:dyDescent="0.3">
      <c r="A24" s="14" t="s">
        <v>613</v>
      </c>
      <c r="B24" s="14" t="s">
        <v>614</v>
      </c>
      <c r="C24" s="15" t="s">
        <v>633</v>
      </c>
      <c r="D24" s="16" t="s">
        <v>634</v>
      </c>
      <c r="E24" s="17">
        <v>2</v>
      </c>
      <c r="F24" s="18" t="s">
        <v>62</v>
      </c>
      <c r="G24" s="16"/>
      <c r="H24" s="29"/>
    </row>
    <row r="25" spans="1:9" ht="30" customHeight="1" x14ac:dyDescent="0.3">
      <c r="A25" s="19" t="s">
        <v>613</v>
      </c>
      <c r="B25" s="19" t="s">
        <v>614</v>
      </c>
      <c r="C25" s="20" t="s">
        <v>635</v>
      </c>
      <c r="D25" s="21" t="s">
        <v>636</v>
      </c>
      <c r="E25" s="17">
        <v>2</v>
      </c>
      <c r="F25" s="18" t="s">
        <v>62</v>
      </c>
      <c r="G25" s="21"/>
      <c r="H25" s="29"/>
    </row>
    <row r="26" spans="1:9" ht="30" customHeight="1" x14ac:dyDescent="0.3">
      <c r="A26" s="14" t="s">
        <v>613</v>
      </c>
      <c r="B26" s="14" t="s">
        <v>614</v>
      </c>
      <c r="C26" s="15" t="s">
        <v>637</v>
      </c>
      <c r="D26" s="16" t="s">
        <v>638</v>
      </c>
      <c r="E26" s="17">
        <v>2</v>
      </c>
      <c r="F26" s="18" t="s">
        <v>62</v>
      </c>
      <c r="G26" s="16"/>
      <c r="H26" s="28"/>
    </row>
    <row r="27" spans="1:9" ht="30" customHeight="1" x14ac:dyDescent="0.3">
      <c r="A27" s="19" t="s">
        <v>613</v>
      </c>
      <c r="B27" s="19" t="s">
        <v>614</v>
      </c>
      <c r="C27" s="20" t="s">
        <v>639</v>
      </c>
      <c r="D27" s="21" t="s">
        <v>640</v>
      </c>
      <c r="E27" s="23">
        <v>3</v>
      </c>
      <c r="F27" s="18" t="s">
        <v>62</v>
      </c>
      <c r="G27" s="21" t="s">
        <v>641</v>
      </c>
      <c r="H27" s="21"/>
    </row>
    <row r="28" spans="1:9" ht="30" customHeight="1" x14ac:dyDescent="0.3">
      <c r="A28" s="14" t="s">
        <v>613</v>
      </c>
      <c r="B28" s="14" t="s">
        <v>614</v>
      </c>
      <c r="C28" s="15" t="s">
        <v>642</v>
      </c>
      <c r="D28" s="16" t="s">
        <v>643</v>
      </c>
      <c r="E28" s="23">
        <v>3</v>
      </c>
      <c r="F28" s="18" t="s">
        <v>62</v>
      </c>
      <c r="G28" s="16" t="s">
        <v>644</v>
      </c>
      <c r="H28" s="16"/>
    </row>
    <row r="29" spans="1:9" ht="30" customHeight="1" x14ac:dyDescent="0.3">
      <c r="A29" s="19" t="s">
        <v>613</v>
      </c>
      <c r="B29" s="19" t="s">
        <v>614</v>
      </c>
      <c r="C29" s="20" t="s">
        <v>645</v>
      </c>
      <c r="D29" s="21" t="s">
        <v>646</v>
      </c>
      <c r="E29" s="23">
        <v>3</v>
      </c>
      <c r="F29" s="18" t="s">
        <v>62</v>
      </c>
      <c r="G29" s="21" t="s">
        <v>647</v>
      </c>
      <c r="H29" s="21"/>
    </row>
    <row r="30" spans="1:9" ht="30" customHeight="1" x14ac:dyDescent="0.3">
      <c r="A30" s="14" t="s">
        <v>613</v>
      </c>
      <c r="B30" s="14" t="s">
        <v>614</v>
      </c>
      <c r="C30" s="15" t="s">
        <v>648</v>
      </c>
      <c r="D30" s="16" t="s">
        <v>649</v>
      </c>
      <c r="E30" s="23">
        <v>3</v>
      </c>
      <c r="F30" s="18" t="s">
        <v>62</v>
      </c>
      <c r="G30" s="16" t="s">
        <v>650</v>
      </c>
      <c r="H30" s="16"/>
    </row>
    <row r="31" spans="1:9" ht="30" customHeight="1" x14ac:dyDescent="0.3">
      <c r="A31" s="19" t="s">
        <v>613</v>
      </c>
      <c r="B31" s="19" t="s">
        <v>614</v>
      </c>
      <c r="C31" s="20" t="s">
        <v>651</v>
      </c>
      <c r="D31" s="21" t="s">
        <v>652</v>
      </c>
      <c r="E31" s="23">
        <v>3</v>
      </c>
      <c r="F31" s="18" t="s">
        <v>62</v>
      </c>
      <c r="G31" s="21" t="s">
        <v>653</v>
      </c>
      <c r="H31" s="21"/>
    </row>
    <row r="32" spans="1:9" ht="18" customHeight="1" x14ac:dyDescent="0.3">
      <c r="A32" s="13" t="s">
        <v>654</v>
      </c>
      <c r="B32" s="13" t="s">
        <v>655</v>
      </c>
      <c r="C32" s="13"/>
      <c r="D32" s="13"/>
      <c r="E32" s="13"/>
      <c r="F32" s="13"/>
      <c r="G32" s="13"/>
      <c r="H32" s="13"/>
    </row>
    <row r="33" spans="1:8" ht="30" customHeight="1" x14ac:dyDescent="0.3">
      <c r="A33" s="14" t="s">
        <v>654</v>
      </c>
      <c r="B33" s="14" t="s">
        <v>655</v>
      </c>
      <c r="C33" s="15" t="s">
        <v>656</v>
      </c>
      <c r="D33" s="16" t="s">
        <v>657</v>
      </c>
      <c r="E33" s="17">
        <v>2</v>
      </c>
      <c r="F33" s="18" t="s">
        <v>62</v>
      </c>
      <c r="G33" s="16" t="s">
        <v>658</v>
      </c>
      <c r="H33" s="16"/>
    </row>
    <row r="34" spans="1:8" ht="30" customHeight="1" x14ac:dyDescent="0.3">
      <c r="A34" s="19" t="s">
        <v>654</v>
      </c>
      <c r="B34" s="19" t="s">
        <v>655</v>
      </c>
      <c r="C34" s="20" t="s">
        <v>659</v>
      </c>
      <c r="D34" s="21" t="s">
        <v>660</v>
      </c>
      <c r="E34" s="17">
        <v>2</v>
      </c>
      <c r="F34" s="18" t="s">
        <v>72</v>
      </c>
      <c r="G34" s="21" t="s">
        <v>1161</v>
      </c>
      <c r="H34" s="21" t="s">
        <v>1160</v>
      </c>
    </row>
    <row r="35" spans="1:8" ht="30" customHeight="1" x14ac:dyDescent="0.3">
      <c r="A35" s="14" t="s">
        <v>654</v>
      </c>
      <c r="B35" s="14" t="s">
        <v>655</v>
      </c>
      <c r="C35" s="15" t="s">
        <v>661</v>
      </c>
      <c r="D35" s="16" t="s">
        <v>662</v>
      </c>
      <c r="E35" s="17">
        <v>2</v>
      </c>
      <c r="F35" s="18" t="s">
        <v>62</v>
      </c>
      <c r="G35" s="16" t="s">
        <v>663</v>
      </c>
      <c r="H35" s="16"/>
    </row>
    <row r="36" spans="1:8" ht="30" customHeight="1" x14ac:dyDescent="0.3">
      <c r="A36" s="19" t="s">
        <v>654</v>
      </c>
      <c r="B36" s="19" t="s">
        <v>655</v>
      </c>
      <c r="C36" s="20" t="s">
        <v>664</v>
      </c>
      <c r="D36" s="21" t="s">
        <v>665</v>
      </c>
      <c r="E36" s="17">
        <v>2</v>
      </c>
      <c r="F36" s="18" t="s">
        <v>62</v>
      </c>
      <c r="G36" s="21" t="s">
        <v>666</v>
      </c>
      <c r="H36" s="21"/>
    </row>
    <row r="37" spans="1:8" ht="30" customHeight="1" x14ac:dyDescent="0.3">
      <c r="A37" s="14" t="s">
        <v>654</v>
      </c>
      <c r="B37" s="14" t="s">
        <v>655</v>
      </c>
      <c r="C37" s="15" t="s">
        <v>667</v>
      </c>
      <c r="D37" s="16" t="s">
        <v>668</v>
      </c>
      <c r="E37" s="17">
        <v>2</v>
      </c>
      <c r="F37" s="18" t="s">
        <v>62</v>
      </c>
      <c r="G37" s="16" t="s">
        <v>669</v>
      </c>
      <c r="H37" s="16"/>
    </row>
    <row r="38" spans="1:8" ht="18" customHeight="1" x14ac:dyDescent="0.3">
      <c r="A38" s="13" t="s">
        <v>670</v>
      </c>
      <c r="B38" s="13" t="s">
        <v>671</v>
      </c>
      <c r="C38" s="13"/>
      <c r="D38" s="13"/>
      <c r="E38" s="13"/>
      <c r="F38" s="13"/>
      <c r="G38" s="13"/>
      <c r="H38" s="13"/>
    </row>
    <row r="39" spans="1:8" ht="30" customHeight="1" x14ac:dyDescent="0.3">
      <c r="A39" s="14" t="s">
        <v>670</v>
      </c>
      <c r="B39" s="14" t="s">
        <v>671</v>
      </c>
      <c r="C39" s="15" t="s">
        <v>672</v>
      </c>
      <c r="D39" s="16" t="s">
        <v>673</v>
      </c>
      <c r="E39" s="17">
        <v>2</v>
      </c>
      <c r="F39" s="18" t="s">
        <v>62</v>
      </c>
      <c r="G39" s="16" t="s">
        <v>1046</v>
      </c>
      <c r="H39" s="29"/>
    </row>
    <row r="40" spans="1:8" ht="30" customHeight="1" x14ac:dyDescent="0.3">
      <c r="A40" s="19" t="s">
        <v>670</v>
      </c>
      <c r="B40" s="19" t="s">
        <v>671</v>
      </c>
      <c r="C40" s="20" t="s">
        <v>674</v>
      </c>
      <c r="D40" s="21" t="s">
        <v>675</v>
      </c>
      <c r="E40" s="17">
        <v>2</v>
      </c>
      <c r="F40" s="18" t="s">
        <v>62</v>
      </c>
      <c r="G40" s="21" t="s">
        <v>1047</v>
      </c>
      <c r="H40" s="29"/>
    </row>
    <row r="41" spans="1:8" ht="18" customHeight="1" x14ac:dyDescent="0.3">
      <c r="A41" s="13" t="s">
        <v>676</v>
      </c>
      <c r="B41" s="13" t="s">
        <v>677</v>
      </c>
      <c r="C41" s="13"/>
      <c r="D41" s="13"/>
      <c r="E41" s="13"/>
      <c r="F41" s="13"/>
      <c r="G41" s="13"/>
      <c r="H41" s="13"/>
    </row>
    <row r="42" spans="1:8" ht="30" customHeight="1" x14ac:dyDescent="0.3">
      <c r="A42" s="14" t="s">
        <v>676</v>
      </c>
      <c r="B42" s="14" t="s">
        <v>677</v>
      </c>
      <c r="C42" s="15" t="s">
        <v>678</v>
      </c>
      <c r="D42" s="16" t="s">
        <v>679</v>
      </c>
      <c r="E42" s="17">
        <v>2</v>
      </c>
      <c r="F42" s="18" t="s">
        <v>62</v>
      </c>
      <c r="G42" s="16" t="s">
        <v>1048</v>
      </c>
      <c r="H42" s="29"/>
    </row>
    <row r="43" spans="1:8" ht="30" customHeight="1" x14ac:dyDescent="0.3">
      <c r="A43" s="19" t="s">
        <v>676</v>
      </c>
      <c r="B43" s="19" t="s">
        <v>677</v>
      </c>
      <c r="C43" s="20" t="s">
        <v>680</v>
      </c>
      <c r="D43" s="21" t="s">
        <v>681</v>
      </c>
      <c r="E43" s="17">
        <v>2</v>
      </c>
      <c r="F43" s="18" t="s">
        <v>62</v>
      </c>
      <c r="G43" s="21" t="s">
        <v>1049</v>
      </c>
      <c r="H43" s="29"/>
    </row>
    <row r="44" spans="1:8" ht="30" customHeight="1" x14ac:dyDescent="0.3">
      <c r="A44" s="14" t="s">
        <v>676</v>
      </c>
      <c r="B44" s="14" t="s">
        <v>677</v>
      </c>
      <c r="C44" s="15" t="s">
        <v>682</v>
      </c>
      <c r="D44" s="16" t="s">
        <v>683</v>
      </c>
      <c r="E44" s="17">
        <v>2</v>
      </c>
      <c r="F44" s="18" t="s">
        <v>62</v>
      </c>
      <c r="G44" s="16" t="s">
        <v>684</v>
      </c>
      <c r="H44" s="16"/>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A00-000000000000}">
      <formula1>"Not Started,In Progress,Compliant,Not Applicable"</formula1>
      <formula2>0</formula2>
    </dataValidation>
  </dataValidations>
  <hyperlinks>
    <hyperlink ref="H17" r:id="rId1" xr:uid="{ED59CA9F-0C91-4806-8D81-99A6BAB1E887}"/>
    <hyperlink ref="H18" r:id="rId2" xr:uid="{B8CEB33B-86E0-493A-9A3A-84A70ED66304}"/>
  </hyperlinks>
  <pageMargins left="0.75" right="0.75" top="1" bottom="1"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2"/>
  <sheetViews>
    <sheetView zoomScale="104" zoomScaleNormal="75" workbookViewId="0">
      <pane ySplit="1" topLeftCell="A18" activePane="bottomLeft" state="frozen"/>
      <selection pane="bottomLeft" activeCell="G33" sqref="G33"/>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685</v>
      </c>
      <c r="B2" s="13" t="s">
        <v>686</v>
      </c>
      <c r="C2" s="13"/>
      <c r="D2" s="13"/>
      <c r="E2" s="13"/>
      <c r="F2" s="13"/>
      <c r="G2" s="13"/>
      <c r="H2" s="13"/>
    </row>
    <row r="3" spans="1:8" ht="30" customHeight="1" x14ac:dyDescent="0.3">
      <c r="A3" s="14" t="s">
        <v>685</v>
      </c>
      <c r="B3" s="14" t="s">
        <v>686</v>
      </c>
      <c r="C3" s="15" t="s">
        <v>687</v>
      </c>
      <c r="D3" s="16" t="s">
        <v>688</v>
      </c>
      <c r="E3" s="17">
        <v>2</v>
      </c>
      <c r="F3" s="18" t="s">
        <v>72</v>
      </c>
      <c r="G3" s="16" t="s">
        <v>1162</v>
      </c>
      <c r="H3" s="16" t="s">
        <v>1127</v>
      </c>
    </row>
    <row r="4" spans="1:8" ht="30" customHeight="1" x14ac:dyDescent="0.3">
      <c r="A4" s="19" t="s">
        <v>685</v>
      </c>
      <c r="B4" s="19" t="s">
        <v>686</v>
      </c>
      <c r="C4" s="20" t="s">
        <v>689</v>
      </c>
      <c r="D4" s="21" t="s">
        <v>690</v>
      </c>
      <c r="E4" s="17">
        <v>2</v>
      </c>
      <c r="F4" s="18" t="s">
        <v>72</v>
      </c>
      <c r="G4" s="21" t="s">
        <v>1163</v>
      </c>
      <c r="H4" s="21" t="s">
        <v>1127</v>
      </c>
    </row>
    <row r="5" spans="1:8" ht="30" customHeight="1" x14ac:dyDescent="0.3">
      <c r="A5" s="14" t="s">
        <v>685</v>
      </c>
      <c r="B5" s="14" t="s">
        <v>686</v>
      </c>
      <c r="C5" s="15" t="s">
        <v>691</v>
      </c>
      <c r="D5" s="16" t="s">
        <v>692</v>
      </c>
      <c r="E5" s="23">
        <v>3</v>
      </c>
      <c r="F5" s="18" t="s">
        <v>62</v>
      </c>
      <c r="G5" s="16" t="s">
        <v>462</v>
      </c>
      <c r="H5" s="16"/>
    </row>
    <row r="6" spans="1:8" ht="30" customHeight="1" x14ac:dyDescent="0.3">
      <c r="A6" s="19" t="s">
        <v>685</v>
      </c>
      <c r="B6" s="19" t="s">
        <v>686</v>
      </c>
      <c r="C6" s="20" t="s">
        <v>693</v>
      </c>
      <c r="D6" s="21" t="s">
        <v>694</v>
      </c>
      <c r="E6" s="23">
        <v>3</v>
      </c>
      <c r="F6" s="18" t="s">
        <v>62</v>
      </c>
      <c r="G6" s="21" t="s">
        <v>462</v>
      </c>
      <c r="H6" s="21"/>
    </row>
    <row r="7" spans="1:8" ht="18" customHeight="1" x14ac:dyDescent="0.3">
      <c r="A7" s="13" t="s">
        <v>695</v>
      </c>
      <c r="B7" s="13" t="s">
        <v>696</v>
      </c>
      <c r="C7" s="13"/>
      <c r="D7" s="13"/>
      <c r="E7" s="13"/>
      <c r="F7" s="13"/>
      <c r="G7" s="13"/>
      <c r="H7" s="13"/>
    </row>
    <row r="8" spans="1:8" ht="30" customHeight="1" x14ac:dyDescent="0.3">
      <c r="A8" s="14" t="s">
        <v>695</v>
      </c>
      <c r="B8" s="14" t="s">
        <v>696</v>
      </c>
      <c r="C8" s="15" t="s">
        <v>697</v>
      </c>
      <c r="D8" s="16" t="s">
        <v>698</v>
      </c>
      <c r="E8" s="17">
        <v>2</v>
      </c>
      <c r="F8" s="18" t="s">
        <v>72</v>
      </c>
      <c r="G8" s="16" t="s">
        <v>1164</v>
      </c>
      <c r="H8" s="16" t="s">
        <v>1127</v>
      </c>
    </row>
    <row r="9" spans="1:8" ht="30" customHeight="1" x14ac:dyDescent="0.3">
      <c r="A9" s="19" t="s">
        <v>695</v>
      </c>
      <c r="B9" s="19" t="s">
        <v>696</v>
      </c>
      <c r="C9" s="20" t="s">
        <v>699</v>
      </c>
      <c r="D9" s="21" t="s">
        <v>700</v>
      </c>
      <c r="E9" s="17">
        <v>2</v>
      </c>
      <c r="F9" s="18" t="s">
        <v>72</v>
      </c>
      <c r="G9" s="21" t="s">
        <v>1165</v>
      </c>
      <c r="H9" s="21" t="s">
        <v>1127</v>
      </c>
    </row>
    <row r="10" spans="1:8" ht="30" customHeight="1" x14ac:dyDescent="0.3">
      <c r="A10" s="14" t="s">
        <v>695</v>
      </c>
      <c r="B10" s="14" t="s">
        <v>696</v>
      </c>
      <c r="C10" s="15" t="s">
        <v>701</v>
      </c>
      <c r="D10" s="16" t="s">
        <v>702</v>
      </c>
      <c r="E10" s="17">
        <v>2</v>
      </c>
      <c r="F10" s="18" t="s">
        <v>72</v>
      </c>
      <c r="G10" s="16" t="s">
        <v>1166</v>
      </c>
      <c r="H10" s="16" t="s">
        <v>1127</v>
      </c>
    </row>
    <row r="11" spans="1:8" ht="30" customHeight="1" x14ac:dyDescent="0.3">
      <c r="A11" s="19" t="s">
        <v>695</v>
      </c>
      <c r="B11" s="19" t="s">
        <v>696</v>
      </c>
      <c r="C11" s="20" t="s">
        <v>703</v>
      </c>
      <c r="D11" s="21" t="s">
        <v>704</v>
      </c>
      <c r="E11" s="23">
        <v>3</v>
      </c>
      <c r="F11" s="18" t="s">
        <v>62</v>
      </c>
      <c r="G11" s="21" t="s">
        <v>705</v>
      </c>
      <c r="H11" s="21"/>
    </row>
    <row r="12" spans="1:8" ht="30" customHeight="1" x14ac:dyDescent="0.3">
      <c r="A12" s="14" t="s">
        <v>695</v>
      </c>
      <c r="B12" s="14" t="s">
        <v>696</v>
      </c>
      <c r="C12" s="15" t="s">
        <v>706</v>
      </c>
      <c r="D12" s="16" t="s">
        <v>707</v>
      </c>
      <c r="E12" s="23">
        <v>3</v>
      </c>
      <c r="F12" s="18" t="s">
        <v>72</v>
      </c>
      <c r="G12" s="16" t="s">
        <v>1167</v>
      </c>
      <c r="H12" s="16" t="s">
        <v>1127</v>
      </c>
    </row>
    <row r="13" spans="1:8" ht="18" customHeight="1" x14ac:dyDescent="0.3">
      <c r="A13" s="13" t="s">
        <v>709</v>
      </c>
      <c r="B13" s="13" t="s">
        <v>710</v>
      </c>
      <c r="C13" s="13"/>
      <c r="D13" s="13"/>
      <c r="E13" s="13"/>
      <c r="F13" s="13"/>
      <c r="G13" s="13"/>
      <c r="H13" s="13"/>
    </row>
    <row r="14" spans="1:8" ht="30" customHeight="1" x14ac:dyDescent="0.3">
      <c r="A14" s="14" t="s">
        <v>709</v>
      </c>
      <c r="B14" s="14" t="s">
        <v>710</v>
      </c>
      <c r="C14" s="15" t="s">
        <v>711</v>
      </c>
      <c r="D14" s="16" t="s">
        <v>712</v>
      </c>
      <c r="E14" s="22">
        <v>1</v>
      </c>
      <c r="F14" s="18" t="s">
        <v>62</v>
      </c>
      <c r="G14" s="16" t="s">
        <v>1002</v>
      </c>
      <c r="H14" s="16"/>
    </row>
    <row r="15" spans="1:8" ht="30" customHeight="1" x14ac:dyDescent="0.3">
      <c r="A15" s="19" t="s">
        <v>709</v>
      </c>
      <c r="B15" s="19" t="s">
        <v>710</v>
      </c>
      <c r="C15" s="20" t="s">
        <v>713</v>
      </c>
      <c r="D15" s="21" t="s">
        <v>714</v>
      </c>
      <c r="E15" s="22">
        <v>1</v>
      </c>
      <c r="F15" s="18" t="s">
        <v>62</v>
      </c>
      <c r="G15" s="21" t="s">
        <v>715</v>
      </c>
      <c r="H15" s="21"/>
    </row>
    <row r="16" spans="1:8" ht="30" customHeight="1" x14ac:dyDescent="0.3">
      <c r="A16" s="14" t="s">
        <v>709</v>
      </c>
      <c r="B16" s="14" t="s">
        <v>710</v>
      </c>
      <c r="C16" s="15" t="s">
        <v>716</v>
      </c>
      <c r="D16" s="16" t="s">
        <v>717</v>
      </c>
      <c r="E16" s="17">
        <v>2</v>
      </c>
      <c r="F16" s="18" t="s">
        <v>62</v>
      </c>
      <c r="G16" s="16" t="s">
        <v>718</v>
      </c>
      <c r="H16" s="16"/>
    </row>
    <row r="17" spans="1:8" ht="30" customHeight="1" x14ac:dyDescent="0.3">
      <c r="A17" s="19" t="s">
        <v>709</v>
      </c>
      <c r="B17" s="19" t="s">
        <v>710</v>
      </c>
      <c r="C17" s="20" t="s">
        <v>719</v>
      </c>
      <c r="D17" s="21" t="s">
        <v>720</v>
      </c>
      <c r="E17" s="23">
        <v>3</v>
      </c>
      <c r="F17" s="18" t="s">
        <v>62</v>
      </c>
      <c r="G17" s="21" t="s">
        <v>1003</v>
      </c>
      <c r="H17" s="21"/>
    </row>
    <row r="18" spans="1:8" ht="30" customHeight="1" x14ac:dyDescent="0.3">
      <c r="A18" s="14" t="s">
        <v>709</v>
      </c>
      <c r="B18" s="14" t="s">
        <v>710</v>
      </c>
      <c r="C18" s="15" t="s">
        <v>721</v>
      </c>
      <c r="D18" s="16" t="s">
        <v>722</v>
      </c>
      <c r="E18" s="23">
        <v>3</v>
      </c>
      <c r="F18" s="18" t="s">
        <v>62</v>
      </c>
      <c r="G18" s="16" t="s">
        <v>1004</v>
      </c>
      <c r="H18" s="16"/>
    </row>
    <row r="19" spans="1:8" ht="18" customHeight="1" x14ac:dyDescent="0.3">
      <c r="A19" s="13" t="s">
        <v>723</v>
      </c>
      <c r="B19" s="13" t="s">
        <v>724</v>
      </c>
      <c r="C19" s="13"/>
      <c r="D19" s="13"/>
      <c r="E19" s="13"/>
      <c r="F19" s="13"/>
      <c r="G19" s="13"/>
      <c r="H19" s="13"/>
    </row>
    <row r="20" spans="1:8" ht="30" customHeight="1" x14ac:dyDescent="0.3">
      <c r="A20" s="14" t="s">
        <v>723</v>
      </c>
      <c r="B20" s="14" t="s">
        <v>724</v>
      </c>
      <c r="C20" s="15" t="s">
        <v>725</v>
      </c>
      <c r="D20" s="16" t="s">
        <v>726</v>
      </c>
      <c r="E20" s="22">
        <v>1</v>
      </c>
      <c r="F20" s="18" t="s">
        <v>72</v>
      </c>
      <c r="G20" s="16" t="s">
        <v>1168</v>
      </c>
      <c r="H20" s="16" t="s">
        <v>580</v>
      </c>
    </row>
    <row r="21" spans="1:8" ht="30" customHeight="1" x14ac:dyDescent="0.3">
      <c r="A21" s="19" t="s">
        <v>723</v>
      </c>
      <c r="B21" s="19" t="s">
        <v>724</v>
      </c>
      <c r="C21" s="20" t="s">
        <v>727</v>
      </c>
      <c r="D21" s="21" t="s">
        <v>728</v>
      </c>
      <c r="E21" s="17">
        <v>2</v>
      </c>
      <c r="F21" s="18" t="s">
        <v>62</v>
      </c>
      <c r="G21" s="21" t="s">
        <v>1050</v>
      </c>
      <c r="H21" s="21"/>
    </row>
    <row r="22" spans="1:8" ht="30" customHeight="1" x14ac:dyDescent="0.3">
      <c r="A22" s="14" t="s">
        <v>723</v>
      </c>
      <c r="B22" s="14" t="s">
        <v>724</v>
      </c>
      <c r="C22" s="15" t="s">
        <v>729</v>
      </c>
      <c r="D22" s="16" t="s">
        <v>730</v>
      </c>
      <c r="E22" s="17">
        <v>2</v>
      </c>
      <c r="F22" s="18" t="s">
        <v>72</v>
      </c>
      <c r="G22" s="16" t="s">
        <v>1169</v>
      </c>
      <c r="H22" s="16" t="s">
        <v>541</v>
      </c>
    </row>
    <row r="23" spans="1:8" ht="30" customHeight="1" x14ac:dyDescent="0.3">
      <c r="A23" s="19" t="s">
        <v>723</v>
      </c>
      <c r="B23" s="19" t="s">
        <v>724</v>
      </c>
      <c r="C23" s="20" t="s">
        <v>731</v>
      </c>
      <c r="D23" s="21" t="s">
        <v>732</v>
      </c>
      <c r="E23" s="17">
        <v>2</v>
      </c>
      <c r="F23" s="18" t="s">
        <v>62</v>
      </c>
      <c r="G23" s="21" t="s">
        <v>733</v>
      </c>
      <c r="H23" s="21"/>
    </row>
    <row r="24" spans="1:8" ht="18" customHeight="1" x14ac:dyDescent="0.3">
      <c r="A24" s="13" t="s">
        <v>734</v>
      </c>
      <c r="B24" s="13" t="s">
        <v>735</v>
      </c>
      <c r="C24" s="13"/>
      <c r="D24" s="13"/>
      <c r="E24" s="13"/>
      <c r="F24" s="13"/>
      <c r="G24" s="13"/>
      <c r="H24" s="13"/>
    </row>
    <row r="25" spans="1:8" ht="30" customHeight="1" x14ac:dyDescent="0.3">
      <c r="A25" s="14" t="s">
        <v>734</v>
      </c>
      <c r="B25" s="14" t="s">
        <v>735</v>
      </c>
      <c r="C25" s="15" t="s">
        <v>736</v>
      </c>
      <c r="D25" s="16" t="s">
        <v>737</v>
      </c>
      <c r="E25" s="17">
        <v>2</v>
      </c>
      <c r="F25" s="18" t="s">
        <v>72</v>
      </c>
      <c r="G25" s="16" t="s">
        <v>1170</v>
      </c>
      <c r="H25" s="16" t="s">
        <v>708</v>
      </c>
    </row>
    <row r="26" spans="1:8" ht="30" customHeight="1" x14ac:dyDescent="0.3">
      <c r="A26" s="19" t="s">
        <v>734</v>
      </c>
      <c r="B26" s="19" t="s">
        <v>735</v>
      </c>
      <c r="C26" s="20" t="s">
        <v>738</v>
      </c>
      <c r="D26" s="21" t="s">
        <v>739</v>
      </c>
      <c r="E26" s="23">
        <v>3</v>
      </c>
      <c r="F26" s="18" t="s">
        <v>62</v>
      </c>
      <c r="G26" s="21" t="s">
        <v>740</v>
      </c>
      <c r="H26" s="21"/>
    </row>
    <row r="27" spans="1:8" ht="18" customHeight="1" x14ac:dyDescent="0.3">
      <c r="A27" s="13" t="s">
        <v>741</v>
      </c>
      <c r="B27" s="13" t="s">
        <v>742</v>
      </c>
      <c r="C27" s="13"/>
      <c r="D27" s="13"/>
      <c r="E27" s="13"/>
      <c r="F27" s="13"/>
      <c r="G27" s="13"/>
      <c r="H27" s="13"/>
    </row>
    <row r="28" spans="1:8" ht="30" customHeight="1" x14ac:dyDescent="0.3">
      <c r="A28" s="14" t="s">
        <v>741</v>
      </c>
      <c r="B28" s="14" t="s">
        <v>742</v>
      </c>
      <c r="C28" s="15" t="s">
        <v>743</v>
      </c>
      <c r="D28" s="16" t="s">
        <v>744</v>
      </c>
      <c r="E28" s="17">
        <v>2</v>
      </c>
      <c r="F28" s="18" t="s">
        <v>72</v>
      </c>
      <c r="G28" s="16" t="s">
        <v>1171</v>
      </c>
      <c r="H28" s="16" t="s">
        <v>580</v>
      </c>
    </row>
    <row r="29" spans="1:8" ht="30" customHeight="1" x14ac:dyDescent="0.3">
      <c r="A29" s="19" t="s">
        <v>741</v>
      </c>
      <c r="B29" s="19" t="s">
        <v>742</v>
      </c>
      <c r="C29" s="20" t="s">
        <v>745</v>
      </c>
      <c r="D29" s="21" t="s">
        <v>746</v>
      </c>
      <c r="E29" s="23">
        <v>3</v>
      </c>
      <c r="F29" s="18" t="s">
        <v>72</v>
      </c>
      <c r="G29" s="21" t="s">
        <v>1172</v>
      </c>
      <c r="H29" s="21" t="s">
        <v>541</v>
      </c>
    </row>
    <row r="30" spans="1:8" ht="18" customHeight="1" x14ac:dyDescent="0.3">
      <c r="A30" s="13" t="s">
        <v>747</v>
      </c>
      <c r="B30" s="13" t="s">
        <v>748</v>
      </c>
      <c r="C30" s="13"/>
      <c r="D30" s="13"/>
      <c r="E30" s="13"/>
      <c r="F30" s="13"/>
      <c r="G30" s="13"/>
      <c r="H30" s="13"/>
    </row>
    <row r="31" spans="1:8" ht="30" customHeight="1" x14ac:dyDescent="0.3">
      <c r="A31" s="14" t="s">
        <v>747</v>
      </c>
      <c r="B31" s="14" t="s">
        <v>748</v>
      </c>
      <c r="C31" s="15" t="s">
        <v>749</v>
      </c>
      <c r="D31" s="16" t="s">
        <v>750</v>
      </c>
      <c r="E31" s="23">
        <v>3</v>
      </c>
      <c r="F31" s="18" t="s">
        <v>62</v>
      </c>
      <c r="G31" s="16" t="s">
        <v>1173</v>
      </c>
      <c r="H31" s="16"/>
    </row>
    <row r="32" spans="1:8" ht="30" customHeight="1" x14ac:dyDescent="0.3">
      <c r="A32" s="19" t="s">
        <v>747</v>
      </c>
      <c r="B32" s="19" t="s">
        <v>748</v>
      </c>
      <c r="C32" s="20" t="s">
        <v>751</v>
      </c>
      <c r="D32" s="21" t="s">
        <v>752</v>
      </c>
      <c r="E32" s="23">
        <v>3</v>
      </c>
      <c r="F32" s="18" t="s">
        <v>72</v>
      </c>
      <c r="G32" s="21" t="s">
        <v>1174</v>
      </c>
      <c r="H32" s="21" t="s">
        <v>538</v>
      </c>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disablePrompts="1" count="1">
    <dataValidation type="list" allowBlank="1" sqref="F2:F1032" xr:uid="{00000000-0002-0000-0B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topLeftCell="D1" zoomScale="146" zoomScaleNormal="75" workbookViewId="0">
      <pane ySplit="1" topLeftCell="A6" activePane="bottomLeft" state="frozen"/>
      <selection pane="bottomLeft" activeCell="G18" sqref="G18"/>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753</v>
      </c>
      <c r="B2" s="13" t="s">
        <v>754</v>
      </c>
      <c r="C2" s="13"/>
      <c r="D2" s="13"/>
      <c r="E2" s="13"/>
      <c r="F2" s="13"/>
      <c r="G2" s="13"/>
      <c r="H2" s="13"/>
    </row>
    <row r="3" spans="1:8" ht="30" customHeight="1" x14ac:dyDescent="0.3">
      <c r="A3" s="14" t="s">
        <v>753</v>
      </c>
      <c r="B3" s="14" t="s">
        <v>754</v>
      </c>
      <c r="C3" s="15" t="s">
        <v>755</v>
      </c>
      <c r="D3" s="16" t="s">
        <v>756</v>
      </c>
      <c r="E3" s="22">
        <v>1</v>
      </c>
      <c r="F3" s="18" t="s">
        <v>62</v>
      </c>
      <c r="G3" s="16" t="s">
        <v>462</v>
      </c>
      <c r="H3" s="16"/>
    </row>
    <row r="4" spans="1:8" ht="30" customHeight="1" x14ac:dyDescent="0.3">
      <c r="A4" s="19" t="s">
        <v>753</v>
      </c>
      <c r="B4" s="19" t="s">
        <v>754</v>
      </c>
      <c r="C4" s="20" t="s">
        <v>757</v>
      </c>
      <c r="D4" s="21" t="s">
        <v>758</v>
      </c>
      <c r="E4" s="17">
        <v>2</v>
      </c>
      <c r="F4" s="18" t="s">
        <v>62</v>
      </c>
      <c r="G4" s="21" t="s">
        <v>462</v>
      </c>
      <c r="H4" s="21"/>
    </row>
    <row r="5" spans="1:8" ht="30" customHeight="1" x14ac:dyDescent="0.3">
      <c r="A5" s="14" t="s">
        <v>753</v>
      </c>
      <c r="B5" s="14" t="s">
        <v>754</v>
      </c>
      <c r="C5" s="15" t="s">
        <v>759</v>
      </c>
      <c r="D5" s="16" t="s">
        <v>760</v>
      </c>
      <c r="E5" s="17">
        <v>2</v>
      </c>
      <c r="F5" s="18" t="s">
        <v>62</v>
      </c>
      <c r="G5" s="16" t="s">
        <v>761</v>
      </c>
      <c r="H5" s="16"/>
    </row>
    <row r="6" spans="1:8" ht="30" customHeight="1" x14ac:dyDescent="0.3">
      <c r="A6" s="19" t="s">
        <v>753</v>
      </c>
      <c r="B6" s="19" t="s">
        <v>754</v>
      </c>
      <c r="C6" s="20" t="s">
        <v>762</v>
      </c>
      <c r="D6" s="21" t="s">
        <v>763</v>
      </c>
      <c r="E6" s="23">
        <v>3</v>
      </c>
      <c r="F6" s="18" t="s">
        <v>62</v>
      </c>
      <c r="G6" s="21" t="s">
        <v>1005</v>
      </c>
      <c r="H6" s="21"/>
    </row>
    <row r="7" spans="1:8" ht="30" customHeight="1" x14ac:dyDescent="0.3">
      <c r="A7" s="14" t="s">
        <v>753</v>
      </c>
      <c r="B7" s="14" t="s">
        <v>754</v>
      </c>
      <c r="C7" s="15" t="s">
        <v>764</v>
      </c>
      <c r="D7" s="16" t="s">
        <v>765</v>
      </c>
      <c r="E7" s="23">
        <v>3</v>
      </c>
      <c r="F7" s="18" t="s">
        <v>62</v>
      </c>
      <c r="G7" s="16" t="s">
        <v>462</v>
      </c>
      <c r="H7" s="16"/>
    </row>
    <row r="8" spans="1:8" ht="18" customHeight="1" x14ac:dyDescent="0.3">
      <c r="A8" s="13" t="s">
        <v>766</v>
      </c>
      <c r="B8" s="13" t="s">
        <v>767</v>
      </c>
      <c r="C8" s="13"/>
      <c r="D8" s="13"/>
      <c r="E8" s="13"/>
      <c r="F8" s="13"/>
      <c r="G8" s="13"/>
      <c r="H8" s="13"/>
    </row>
    <row r="9" spans="1:8" ht="30" customHeight="1" x14ac:dyDescent="0.3">
      <c r="A9" s="14" t="s">
        <v>766</v>
      </c>
      <c r="B9" s="14" t="s">
        <v>767</v>
      </c>
      <c r="C9" s="15" t="s">
        <v>768</v>
      </c>
      <c r="D9" s="16" t="s">
        <v>769</v>
      </c>
      <c r="E9" s="22">
        <v>1</v>
      </c>
      <c r="F9" s="18" t="s">
        <v>72</v>
      </c>
      <c r="G9" s="16" t="s">
        <v>1175</v>
      </c>
      <c r="H9" s="16" t="s">
        <v>1176</v>
      </c>
    </row>
    <row r="10" spans="1:8" ht="30" customHeight="1" x14ac:dyDescent="0.3">
      <c r="A10" s="19" t="s">
        <v>766</v>
      </c>
      <c r="B10" s="19" t="s">
        <v>767</v>
      </c>
      <c r="C10" s="20" t="s">
        <v>770</v>
      </c>
      <c r="D10" s="21" t="s">
        <v>771</v>
      </c>
      <c r="E10" s="22">
        <v>1</v>
      </c>
      <c r="F10" s="18" t="s">
        <v>72</v>
      </c>
      <c r="G10" s="21" t="s">
        <v>1177</v>
      </c>
      <c r="H10" s="21" t="s">
        <v>1176</v>
      </c>
    </row>
    <row r="11" spans="1:8" ht="18" customHeight="1" x14ac:dyDescent="0.3">
      <c r="A11" s="13" t="s">
        <v>772</v>
      </c>
      <c r="B11" s="13" t="s">
        <v>773</v>
      </c>
      <c r="C11" s="13"/>
      <c r="D11" s="13"/>
      <c r="E11" s="13"/>
      <c r="F11" s="13"/>
      <c r="G11" s="13"/>
      <c r="H11" s="13"/>
    </row>
    <row r="12" spans="1:8" ht="30" customHeight="1" x14ac:dyDescent="0.3">
      <c r="A12" s="14" t="s">
        <v>772</v>
      </c>
      <c r="B12" s="14" t="s">
        <v>773</v>
      </c>
      <c r="C12" s="15" t="s">
        <v>774</v>
      </c>
      <c r="D12" s="16" t="s">
        <v>775</v>
      </c>
      <c r="E12" s="17">
        <v>2</v>
      </c>
      <c r="F12" s="18" t="s">
        <v>72</v>
      </c>
      <c r="G12" s="16" t="s">
        <v>1179</v>
      </c>
      <c r="H12" s="16" t="s">
        <v>580</v>
      </c>
    </row>
    <row r="13" spans="1:8" ht="30" customHeight="1" x14ac:dyDescent="0.3">
      <c r="A13" s="19" t="s">
        <v>772</v>
      </c>
      <c r="B13" s="19" t="s">
        <v>773</v>
      </c>
      <c r="C13" s="20" t="s">
        <v>776</v>
      </c>
      <c r="D13" s="21" t="s">
        <v>777</v>
      </c>
      <c r="E13" s="17">
        <v>2</v>
      </c>
      <c r="F13" s="18" t="s">
        <v>72</v>
      </c>
      <c r="G13" s="21" t="s">
        <v>1178</v>
      </c>
      <c r="H13" s="21" t="s">
        <v>1128</v>
      </c>
    </row>
    <row r="14" spans="1:8" ht="30" customHeight="1" x14ac:dyDescent="0.3">
      <c r="A14" s="14" t="s">
        <v>772</v>
      </c>
      <c r="B14" s="14" t="s">
        <v>773</v>
      </c>
      <c r="C14" s="15" t="s">
        <v>778</v>
      </c>
      <c r="D14" s="16" t="s">
        <v>779</v>
      </c>
      <c r="E14" s="17">
        <v>2</v>
      </c>
      <c r="F14" s="18" t="s">
        <v>62</v>
      </c>
      <c r="G14" s="16" t="s">
        <v>1180</v>
      </c>
      <c r="H14" s="16"/>
    </row>
    <row r="15" spans="1:8" ht="30" customHeight="1" x14ac:dyDescent="0.3">
      <c r="A15" s="19" t="s">
        <v>772</v>
      </c>
      <c r="B15" s="19" t="s">
        <v>773</v>
      </c>
      <c r="C15" s="20" t="s">
        <v>780</v>
      </c>
      <c r="D15" s="21" t="s">
        <v>781</v>
      </c>
      <c r="E15" s="17">
        <v>2</v>
      </c>
      <c r="F15" s="18" t="s">
        <v>62</v>
      </c>
      <c r="G15" s="21" t="s">
        <v>1006</v>
      </c>
      <c r="H15" s="21"/>
    </row>
    <row r="16" spans="1:8" ht="30" customHeight="1" x14ac:dyDescent="0.3">
      <c r="A16" s="14" t="s">
        <v>772</v>
      </c>
      <c r="B16" s="14" t="s">
        <v>773</v>
      </c>
      <c r="C16" s="15" t="s">
        <v>782</v>
      </c>
      <c r="D16" s="16" t="s">
        <v>783</v>
      </c>
      <c r="E16" s="23">
        <v>3</v>
      </c>
      <c r="F16" s="18" t="s">
        <v>62</v>
      </c>
      <c r="G16" s="16" t="s">
        <v>784</v>
      </c>
      <c r="H16" s="16"/>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topLeftCell="C1" zoomScale="120" zoomScaleNormal="120" workbookViewId="0">
      <pane ySplit="1" topLeftCell="A19" activePane="bottomLeft" state="frozen"/>
      <selection pane="bottomLeft" activeCell="G27" sqref="G27"/>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785</v>
      </c>
      <c r="B2" s="13" t="s">
        <v>786</v>
      </c>
      <c r="C2" s="13"/>
      <c r="D2" s="13"/>
      <c r="E2" s="13"/>
      <c r="F2" s="13"/>
      <c r="G2" s="13"/>
      <c r="H2" s="13"/>
    </row>
    <row r="3" spans="1:8" ht="29.4" customHeight="1" x14ac:dyDescent="0.3">
      <c r="A3" s="14" t="s">
        <v>785</v>
      </c>
      <c r="B3" s="14" t="s">
        <v>786</v>
      </c>
      <c r="C3" s="15" t="s">
        <v>787</v>
      </c>
      <c r="D3" s="16" t="s">
        <v>788</v>
      </c>
      <c r="E3" s="17">
        <v>2</v>
      </c>
      <c r="F3" s="18" t="s">
        <v>72</v>
      </c>
      <c r="G3" s="16" t="s">
        <v>1187</v>
      </c>
      <c r="H3" s="16" t="s">
        <v>1188</v>
      </c>
    </row>
    <row r="4" spans="1:8" ht="30" customHeight="1" x14ac:dyDescent="0.3">
      <c r="A4" s="19" t="s">
        <v>785</v>
      </c>
      <c r="B4" s="19" t="s">
        <v>786</v>
      </c>
      <c r="C4" s="20" t="s">
        <v>789</v>
      </c>
      <c r="D4" s="21" t="s">
        <v>790</v>
      </c>
      <c r="E4" s="23">
        <v>3</v>
      </c>
      <c r="F4" s="18" t="s">
        <v>72</v>
      </c>
      <c r="G4" s="21" t="s">
        <v>1189</v>
      </c>
      <c r="H4" s="21" t="s">
        <v>1188</v>
      </c>
    </row>
    <row r="5" spans="1:8" ht="30" customHeight="1" x14ac:dyDescent="0.3">
      <c r="A5" s="14" t="s">
        <v>785</v>
      </c>
      <c r="B5" s="14" t="s">
        <v>786</v>
      </c>
      <c r="C5" s="15" t="s">
        <v>791</v>
      </c>
      <c r="D5" s="16" t="s">
        <v>792</v>
      </c>
      <c r="E5" s="23">
        <v>3</v>
      </c>
      <c r="F5" s="18" t="s">
        <v>72</v>
      </c>
      <c r="G5" s="16" t="s">
        <v>1190</v>
      </c>
      <c r="H5" s="16" t="s">
        <v>1188</v>
      </c>
    </row>
    <row r="6" spans="1:8" ht="30" customHeight="1" x14ac:dyDescent="0.3">
      <c r="A6" s="19" t="s">
        <v>785</v>
      </c>
      <c r="B6" s="19" t="s">
        <v>786</v>
      </c>
      <c r="C6" s="20" t="s">
        <v>793</v>
      </c>
      <c r="D6" s="21" t="s">
        <v>794</v>
      </c>
      <c r="E6" s="23">
        <v>3</v>
      </c>
      <c r="F6" s="18" t="s">
        <v>72</v>
      </c>
      <c r="G6" s="21" t="s">
        <v>1191</v>
      </c>
      <c r="H6" s="21" t="s">
        <v>1192</v>
      </c>
    </row>
    <row r="7" spans="1:8" ht="18" customHeight="1" x14ac:dyDescent="0.3">
      <c r="A7" s="13" t="s">
        <v>795</v>
      </c>
      <c r="B7" s="13" t="s">
        <v>796</v>
      </c>
      <c r="C7" s="13"/>
      <c r="D7" s="13"/>
      <c r="E7" s="13"/>
      <c r="F7" s="13"/>
      <c r="G7" s="13"/>
      <c r="H7" s="13"/>
    </row>
    <row r="8" spans="1:8" ht="30" customHeight="1" x14ac:dyDescent="0.3">
      <c r="A8" s="14" t="s">
        <v>795</v>
      </c>
      <c r="B8" s="14" t="s">
        <v>796</v>
      </c>
      <c r="C8" s="15" t="s">
        <v>797</v>
      </c>
      <c r="D8" s="16" t="s">
        <v>798</v>
      </c>
      <c r="E8" s="17">
        <v>2</v>
      </c>
      <c r="F8" s="18" t="s">
        <v>72</v>
      </c>
      <c r="G8" s="16" t="s">
        <v>1193</v>
      </c>
      <c r="H8" s="16" t="s">
        <v>1194</v>
      </c>
    </row>
    <row r="9" spans="1:8" ht="30" customHeight="1" x14ac:dyDescent="0.3">
      <c r="A9" s="19" t="s">
        <v>795</v>
      </c>
      <c r="B9" s="19" t="s">
        <v>796</v>
      </c>
      <c r="C9" s="20" t="s">
        <v>799</v>
      </c>
      <c r="D9" s="21" t="s">
        <v>800</v>
      </c>
      <c r="E9" s="17">
        <v>2</v>
      </c>
      <c r="F9" s="18" t="s">
        <v>72</v>
      </c>
      <c r="G9" s="21" t="s">
        <v>1195</v>
      </c>
      <c r="H9" s="21" t="s">
        <v>541</v>
      </c>
    </row>
    <row r="10" spans="1:8" ht="30" customHeight="1" x14ac:dyDescent="0.3">
      <c r="A10" s="14" t="s">
        <v>795</v>
      </c>
      <c r="B10" s="14" t="s">
        <v>796</v>
      </c>
      <c r="C10" s="15" t="s">
        <v>801</v>
      </c>
      <c r="D10" s="16" t="s">
        <v>802</v>
      </c>
      <c r="E10" s="17">
        <v>2</v>
      </c>
      <c r="F10" s="18" t="s">
        <v>72</v>
      </c>
      <c r="G10" s="16" t="s">
        <v>1007</v>
      </c>
      <c r="H10" s="16" t="s">
        <v>1192</v>
      </c>
    </row>
    <row r="11" spans="1:8" ht="30" customHeight="1" x14ac:dyDescent="0.3">
      <c r="A11" s="19" t="s">
        <v>795</v>
      </c>
      <c r="B11" s="19" t="s">
        <v>796</v>
      </c>
      <c r="C11" s="20" t="s">
        <v>803</v>
      </c>
      <c r="D11" s="21" t="s">
        <v>804</v>
      </c>
      <c r="E11" s="17">
        <v>2</v>
      </c>
      <c r="F11" s="18" t="s">
        <v>62</v>
      </c>
      <c r="G11" s="21" t="s">
        <v>1197</v>
      </c>
      <c r="H11" s="21"/>
    </row>
    <row r="12" spans="1:8" ht="30" customHeight="1" x14ac:dyDescent="0.3">
      <c r="A12" s="14" t="s">
        <v>795</v>
      </c>
      <c r="B12" s="14" t="s">
        <v>796</v>
      </c>
      <c r="C12" s="15" t="s">
        <v>805</v>
      </c>
      <c r="D12" s="16" t="s">
        <v>806</v>
      </c>
      <c r="E12" s="17">
        <v>2</v>
      </c>
      <c r="F12" s="18" t="s">
        <v>72</v>
      </c>
      <c r="G12" s="16" t="s">
        <v>1196</v>
      </c>
      <c r="H12" s="16" t="s">
        <v>1192</v>
      </c>
    </row>
    <row r="13" spans="1:8" ht="30" customHeight="1" x14ac:dyDescent="0.3">
      <c r="A13" s="19" t="s">
        <v>795</v>
      </c>
      <c r="B13" s="19" t="s">
        <v>796</v>
      </c>
      <c r="C13" s="20" t="s">
        <v>807</v>
      </c>
      <c r="D13" s="21" t="s">
        <v>808</v>
      </c>
      <c r="E13" s="23">
        <v>3</v>
      </c>
      <c r="F13" s="18" t="s">
        <v>72</v>
      </c>
      <c r="G13" s="21" t="s">
        <v>1198</v>
      </c>
      <c r="H13" s="21" t="s">
        <v>1192</v>
      </c>
    </row>
    <row r="14" spans="1:8" ht="18" customHeight="1" x14ac:dyDescent="0.3">
      <c r="A14" s="13" t="s">
        <v>809</v>
      </c>
      <c r="B14" s="13" t="s">
        <v>810</v>
      </c>
      <c r="C14" s="13"/>
      <c r="D14" s="13"/>
      <c r="E14" s="13"/>
      <c r="F14" s="13"/>
      <c r="G14" s="13"/>
      <c r="H14" s="13"/>
    </row>
    <row r="15" spans="1:8" ht="30" customHeight="1" x14ac:dyDescent="0.3">
      <c r="A15" s="14" t="s">
        <v>809</v>
      </c>
      <c r="B15" s="14" t="s">
        <v>810</v>
      </c>
      <c r="C15" s="15" t="s">
        <v>811</v>
      </c>
      <c r="D15" s="16" t="s">
        <v>812</v>
      </c>
      <c r="E15" s="17">
        <v>2</v>
      </c>
      <c r="F15" s="18" t="s">
        <v>72</v>
      </c>
      <c r="G15" s="16" t="s">
        <v>1199</v>
      </c>
      <c r="H15" s="16" t="s">
        <v>1200</v>
      </c>
    </row>
    <row r="16" spans="1:8" ht="30" customHeight="1" x14ac:dyDescent="0.3">
      <c r="A16" s="19" t="s">
        <v>809</v>
      </c>
      <c r="B16" s="19" t="s">
        <v>810</v>
      </c>
      <c r="C16" s="20" t="s">
        <v>813</v>
      </c>
      <c r="D16" s="21" t="s">
        <v>814</v>
      </c>
      <c r="E16" s="17">
        <v>2</v>
      </c>
      <c r="F16" s="18" t="s">
        <v>72</v>
      </c>
      <c r="G16" s="21" t="s">
        <v>1201</v>
      </c>
      <c r="H16" s="21" t="s">
        <v>1200</v>
      </c>
    </row>
    <row r="17" spans="1:8" ht="30" customHeight="1" x14ac:dyDescent="0.3">
      <c r="A17" s="14" t="s">
        <v>809</v>
      </c>
      <c r="B17" s="14" t="s">
        <v>810</v>
      </c>
      <c r="C17" s="15" t="s">
        <v>815</v>
      </c>
      <c r="D17" s="16" t="s">
        <v>816</v>
      </c>
      <c r="E17" s="23">
        <v>3</v>
      </c>
      <c r="F17" s="18" t="s">
        <v>62</v>
      </c>
      <c r="G17" s="16" t="s">
        <v>1051</v>
      </c>
      <c r="H17" s="16"/>
    </row>
    <row r="18" spans="1:8" ht="30" customHeight="1" x14ac:dyDescent="0.3">
      <c r="A18" s="19" t="s">
        <v>809</v>
      </c>
      <c r="B18" s="19" t="s">
        <v>810</v>
      </c>
      <c r="C18" s="20" t="s">
        <v>817</v>
      </c>
      <c r="D18" s="21" t="s">
        <v>818</v>
      </c>
      <c r="E18" s="23">
        <v>3</v>
      </c>
      <c r="F18" s="18" t="s">
        <v>62</v>
      </c>
      <c r="G18" s="21" t="s">
        <v>1052</v>
      </c>
      <c r="H18" s="21"/>
    </row>
    <row r="19" spans="1:8" ht="18" customHeight="1" x14ac:dyDescent="0.3">
      <c r="A19" s="13" t="s">
        <v>819</v>
      </c>
      <c r="B19" s="13" t="s">
        <v>820</v>
      </c>
      <c r="C19" s="13"/>
      <c r="D19" s="13"/>
      <c r="E19" s="13"/>
      <c r="F19" s="13"/>
      <c r="G19" s="13"/>
      <c r="H19" s="13"/>
    </row>
    <row r="20" spans="1:8" ht="30" customHeight="1" x14ac:dyDescent="0.3">
      <c r="A20" s="14" t="s">
        <v>819</v>
      </c>
      <c r="B20" s="14" t="s">
        <v>820</v>
      </c>
      <c r="C20" s="15" t="s">
        <v>821</v>
      </c>
      <c r="D20" s="16" t="s">
        <v>822</v>
      </c>
      <c r="E20" s="22">
        <v>1</v>
      </c>
      <c r="F20" s="18" t="s">
        <v>72</v>
      </c>
      <c r="G20" s="16" t="s">
        <v>1008</v>
      </c>
      <c r="H20" s="16" t="s">
        <v>1200</v>
      </c>
    </row>
    <row r="21" spans="1:8" ht="30" customHeight="1" x14ac:dyDescent="0.3">
      <c r="A21" s="19" t="s">
        <v>819</v>
      </c>
      <c r="B21" s="19" t="s">
        <v>820</v>
      </c>
      <c r="C21" s="20" t="s">
        <v>823</v>
      </c>
      <c r="D21" s="21" t="s">
        <v>824</v>
      </c>
      <c r="E21" s="17">
        <v>2</v>
      </c>
      <c r="F21" s="18" t="s">
        <v>72</v>
      </c>
      <c r="G21" s="21" t="s">
        <v>1202</v>
      </c>
      <c r="H21" s="21" t="s">
        <v>1200</v>
      </c>
    </row>
    <row r="22" spans="1:8" ht="30" customHeight="1" x14ac:dyDescent="0.3">
      <c r="A22" s="14" t="s">
        <v>819</v>
      </c>
      <c r="B22" s="14" t="s">
        <v>820</v>
      </c>
      <c r="C22" s="15" t="s">
        <v>825</v>
      </c>
      <c r="D22" s="16" t="s">
        <v>826</v>
      </c>
      <c r="E22" s="17">
        <v>2</v>
      </c>
      <c r="F22" s="18" t="s">
        <v>62</v>
      </c>
      <c r="G22" s="16" t="s">
        <v>1203</v>
      </c>
      <c r="H22" s="16"/>
    </row>
    <row r="23" spans="1:8" ht="30" customHeight="1" x14ac:dyDescent="0.3">
      <c r="A23" s="19" t="s">
        <v>819</v>
      </c>
      <c r="B23" s="19" t="s">
        <v>820</v>
      </c>
      <c r="C23" s="20" t="s">
        <v>827</v>
      </c>
      <c r="D23" s="21" t="s">
        <v>828</v>
      </c>
      <c r="E23" s="17">
        <v>2</v>
      </c>
      <c r="F23" s="18" t="s">
        <v>62</v>
      </c>
      <c r="G23" s="21" t="s">
        <v>1204</v>
      </c>
      <c r="H23" s="21"/>
    </row>
    <row r="24" spans="1:8" ht="30" customHeight="1" x14ac:dyDescent="0.3">
      <c r="A24" s="14" t="s">
        <v>819</v>
      </c>
      <c r="B24" s="14" t="s">
        <v>820</v>
      </c>
      <c r="C24" s="15" t="s">
        <v>829</v>
      </c>
      <c r="D24" s="16" t="s">
        <v>830</v>
      </c>
      <c r="E24" s="17">
        <v>2</v>
      </c>
      <c r="F24" s="18" t="s">
        <v>72</v>
      </c>
      <c r="G24" s="16" t="s">
        <v>1205</v>
      </c>
      <c r="H24" s="16" t="s">
        <v>541</v>
      </c>
    </row>
    <row r="25" spans="1:8" ht="30" customHeight="1" x14ac:dyDescent="0.3">
      <c r="A25" s="19" t="s">
        <v>819</v>
      </c>
      <c r="B25" s="19" t="s">
        <v>820</v>
      </c>
      <c r="C25" s="20" t="s">
        <v>831</v>
      </c>
      <c r="D25" s="21" t="s">
        <v>832</v>
      </c>
      <c r="E25" s="23">
        <v>3</v>
      </c>
      <c r="F25" s="18" t="s">
        <v>72</v>
      </c>
      <c r="G25" s="21" t="s">
        <v>1009</v>
      </c>
      <c r="H25" s="21" t="s">
        <v>1206</v>
      </c>
    </row>
    <row r="26" spans="1:8" ht="30" customHeight="1" x14ac:dyDescent="0.3">
      <c r="A26" s="14" t="s">
        <v>819</v>
      </c>
      <c r="B26" s="14" t="s">
        <v>820</v>
      </c>
      <c r="C26" s="15" t="s">
        <v>833</v>
      </c>
      <c r="D26" s="16" t="s">
        <v>834</v>
      </c>
      <c r="E26" s="23">
        <v>3</v>
      </c>
      <c r="F26" s="18" t="s">
        <v>72</v>
      </c>
      <c r="G26" s="16" t="s">
        <v>1207</v>
      </c>
      <c r="H26" s="16" t="s">
        <v>541</v>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D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topLeftCell="D1" zoomScale="149" zoomScaleNormal="75" workbookViewId="0">
      <pane ySplit="1" topLeftCell="A2" activePane="bottomLeft" state="frozen"/>
      <selection pane="bottomLeft" activeCell="H9" sqref="H9"/>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835</v>
      </c>
      <c r="B2" s="13" t="s">
        <v>836</v>
      </c>
      <c r="C2" s="13"/>
      <c r="D2" s="13"/>
      <c r="E2" s="13"/>
      <c r="F2" s="13"/>
      <c r="G2" s="13"/>
      <c r="H2" s="13"/>
    </row>
    <row r="3" spans="1:8" ht="30" customHeight="1" x14ac:dyDescent="0.3">
      <c r="A3" s="14" t="s">
        <v>835</v>
      </c>
      <c r="B3" s="14" t="s">
        <v>836</v>
      </c>
      <c r="C3" s="15" t="s">
        <v>837</v>
      </c>
      <c r="D3" s="16" t="s">
        <v>838</v>
      </c>
      <c r="E3" s="17">
        <v>2</v>
      </c>
      <c r="F3" s="18" t="s">
        <v>72</v>
      </c>
      <c r="G3" s="16" t="s">
        <v>1181</v>
      </c>
      <c r="H3" s="16" t="s">
        <v>1070</v>
      </c>
    </row>
    <row r="4" spans="1:8" ht="30" customHeight="1" x14ac:dyDescent="0.3">
      <c r="A4" s="19" t="s">
        <v>835</v>
      </c>
      <c r="B4" s="19" t="s">
        <v>836</v>
      </c>
      <c r="C4" s="20" t="s">
        <v>839</v>
      </c>
      <c r="D4" s="21" t="s">
        <v>840</v>
      </c>
      <c r="E4" s="17">
        <v>2</v>
      </c>
      <c r="F4" s="18" t="s">
        <v>72</v>
      </c>
      <c r="G4" s="21" t="s">
        <v>1182</v>
      </c>
      <c r="H4" s="21"/>
    </row>
    <row r="5" spans="1:8" ht="18" customHeight="1" x14ac:dyDescent="0.3">
      <c r="A5" s="13" t="s">
        <v>841</v>
      </c>
      <c r="B5" s="13" t="s">
        <v>842</v>
      </c>
      <c r="C5" s="13"/>
      <c r="D5" s="13"/>
      <c r="E5" s="13"/>
      <c r="F5" s="13"/>
      <c r="G5" s="13"/>
      <c r="H5" s="13"/>
    </row>
    <row r="6" spans="1:8" ht="30" customHeight="1" x14ac:dyDescent="0.3">
      <c r="A6" s="14" t="s">
        <v>841</v>
      </c>
      <c r="B6" s="14" t="s">
        <v>842</v>
      </c>
      <c r="C6" s="15" t="s">
        <v>843</v>
      </c>
      <c r="D6" s="16" t="s">
        <v>844</v>
      </c>
      <c r="E6" s="22">
        <v>1</v>
      </c>
      <c r="F6" s="18" t="s">
        <v>72</v>
      </c>
      <c r="G6" s="16" t="s">
        <v>1183</v>
      </c>
      <c r="H6" s="16" t="s">
        <v>1127</v>
      </c>
    </row>
    <row r="7" spans="1:8" ht="30" customHeight="1" x14ac:dyDescent="0.3">
      <c r="A7" s="19" t="s">
        <v>841</v>
      </c>
      <c r="B7" s="19" t="s">
        <v>842</v>
      </c>
      <c r="C7" s="20" t="s">
        <v>845</v>
      </c>
      <c r="D7" s="21" t="s">
        <v>846</v>
      </c>
      <c r="E7" s="17">
        <v>2</v>
      </c>
      <c r="F7" s="18" t="s">
        <v>62</v>
      </c>
      <c r="G7" s="21" t="s">
        <v>1184</v>
      </c>
      <c r="H7" s="21"/>
    </row>
    <row r="8" spans="1:8" ht="30" customHeight="1" x14ac:dyDescent="0.3">
      <c r="A8" s="14" t="s">
        <v>841</v>
      </c>
      <c r="B8" s="14" t="s">
        <v>842</v>
      </c>
      <c r="C8" s="15" t="s">
        <v>847</v>
      </c>
      <c r="D8" s="16" t="s">
        <v>848</v>
      </c>
      <c r="E8" s="17">
        <v>2</v>
      </c>
      <c r="F8" s="18" t="s">
        <v>72</v>
      </c>
      <c r="G8" s="16" t="s">
        <v>1185</v>
      </c>
      <c r="H8" s="16" t="s">
        <v>538</v>
      </c>
    </row>
    <row r="9" spans="1:8" ht="30" customHeight="1" x14ac:dyDescent="0.3">
      <c r="A9" s="19" t="s">
        <v>841</v>
      </c>
      <c r="B9" s="19" t="s">
        <v>842</v>
      </c>
      <c r="C9" s="20" t="s">
        <v>849</v>
      </c>
      <c r="D9" s="21" t="s">
        <v>850</v>
      </c>
      <c r="E9" s="17">
        <v>2</v>
      </c>
      <c r="F9" s="18" t="s">
        <v>72</v>
      </c>
      <c r="G9" s="21" t="s">
        <v>1186</v>
      </c>
      <c r="H9" s="21" t="s">
        <v>565</v>
      </c>
    </row>
    <row r="10" spans="1:8" ht="30" customHeight="1" x14ac:dyDescent="0.3">
      <c r="A10" s="14" t="s">
        <v>841</v>
      </c>
      <c r="B10" s="14" t="s">
        <v>842</v>
      </c>
      <c r="C10" s="15" t="s">
        <v>851</v>
      </c>
      <c r="D10" s="16" t="s">
        <v>852</v>
      </c>
      <c r="E10" s="23">
        <v>3</v>
      </c>
      <c r="F10" s="18" t="s">
        <v>62</v>
      </c>
      <c r="G10" s="16" t="s">
        <v>1010</v>
      </c>
      <c r="H10" s="16"/>
    </row>
    <row r="11" spans="1:8" ht="30" customHeight="1" x14ac:dyDescent="0.3">
      <c r="A11" s="19" t="s">
        <v>841</v>
      </c>
      <c r="B11" s="19" t="s">
        <v>842</v>
      </c>
      <c r="C11" s="20" t="s">
        <v>853</v>
      </c>
      <c r="D11" s="21" t="s">
        <v>854</v>
      </c>
      <c r="E11" s="23">
        <v>3</v>
      </c>
      <c r="F11" s="18" t="s">
        <v>62</v>
      </c>
      <c r="G11" s="21" t="s">
        <v>1011</v>
      </c>
      <c r="H11" s="21"/>
    </row>
    <row r="12" spans="1:8" ht="30" customHeight="1" x14ac:dyDescent="0.3">
      <c r="A12" s="14" t="s">
        <v>841</v>
      </c>
      <c r="B12" s="14" t="s">
        <v>842</v>
      </c>
      <c r="C12" s="15" t="s">
        <v>855</v>
      </c>
      <c r="D12" s="16" t="s">
        <v>856</v>
      </c>
      <c r="E12" s="23">
        <v>3</v>
      </c>
      <c r="F12" s="18" t="s">
        <v>62</v>
      </c>
      <c r="G12" s="16" t="s">
        <v>1012</v>
      </c>
      <c r="H12" s="16"/>
    </row>
    <row r="13" spans="1:8" ht="30" customHeight="1" x14ac:dyDescent="0.3">
      <c r="A13" s="19" t="s">
        <v>841</v>
      </c>
      <c r="B13" s="19" t="s">
        <v>842</v>
      </c>
      <c r="C13" s="20" t="s">
        <v>857</v>
      </c>
      <c r="D13" s="21" t="s">
        <v>858</v>
      </c>
      <c r="E13" s="23">
        <v>3</v>
      </c>
      <c r="F13" s="18" t="s">
        <v>62</v>
      </c>
      <c r="G13" s="21" t="s">
        <v>1013</v>
      </c>
      <c r="H13" s="21"/>
    </row>
    <row r="14" spans="1:8" ht="18" customHeight="1" x14ac:dyDescent="0.3">
      <c r="A14" s="13" t="s">
        <v>859</v>
      </c>
      <c r="B14" s="13" t="s">
        <v>860</v>
      </c>
      <c r="C14" s="13"/>
      <c r="D14" s="13"/>
      <c r="E14" s="13"/>
      <c r="F14" s="13"/>
      <c r="G14" s="13"/>
      <c r="H14" s="13"/>
    </row>
    <row r="15" spans="1:8" ht="30" customHeight="1" x14ac:dyDescent="0.3">
      <c r="A15" s="14" t="s">
        <v>859</v>
      </c>
      <c r="B15" s="14" t="s">
        <v>860</v>
      </c>
      <c r="C15" s="15" t="s">
        <v>861</v>
      </c>
      <c r="D15" s="16" t="s">
        <v>862</v>
      </c>
      <c r="E15" s="22">
        <v>1</v>
      </c>
      <c r="F15" s="18" t="s">
        <v>62</v>
      </c>
      <c r="G15" s="16" t="s">
        <v>1014</v>
      </c>
      <c r="H15" s="16"/>
    </row>
    <row r="16" spans="1:8" ht="30" customHeight="1" x14ac:dyDescent="0.3">
      <c r="A16" s="19" t="s">
        <v>859</v>
      </c>
      <c r="B16" s="19" t="s">
        <v>860</v>
      </c>
      <c r="C16" s="20" t="s">
        <v>863</v>
      </c>
      <c r="D16" s="21" t="s">
        <v>864</v>
      </c>
      <c r="E16" s="17">
        <v>2</v>
      </c>
      <c r="F16" s="18" t="s">
        <v>62</v>
      </c>
      <c r="G16" s="21" t="s">
        <v>1015</v>
      </c>
      <c r="H16" s="21"/>
    </row>
    <row r="17" spans="1:8" ht="30" customHeight="1" x14ac:dyDescent="0.3">
      <c r="A17" s="14" t="s">
        <v>859</v>
      </c>
      <c r="B17" s="14" t="s">
        <v>860</v>
      </c>
      <c r="C17" s="15" t="s">
        <v>865</v>
      </c>
      <c r="D17" s="16" t="s">
        <v>866</v>
      </c>
      <c r="E17" s="17">
        <v>2</v>
      </c>
      <c r="F17" s="18" t="s">
        <v>62</v>
      </c>
      <c r="G17" s="16" t="s">
        <v>1016</v>
      </c>
      <c r="H17" s="16"/>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topLeftCell="B1" zoomScale="120" zoomScaleNormal="120" workbookViewId="0">
      <pane ySplit="1" topLeftCell="A13" activePane="bottomLeft" state="frozen"/>
      <selection pane="bottomLeft" activeCell="H27" sqref="H27"/>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867</v>
      </c>
      <c r="B2" s="13" t="s">
        <v>868</v>
      </c>
      <c r="C2" s="13"/>
      <c r="D2" s="13"/>
      <c r="E2" s="13"/>
      <c r="F2" s="13"/>
      <c r="G2" s="13"/>
      <c r="H2" s="13"/>
    </row>
    <row r="3" spans="1:8" ht="30" customHeight="1" x14ac:dyDescent="0.3">
      <c r="A3" s="14" t="s">
        <v>867</v>
      </c>
      <c r="B3" s="14" t="s">
        <v>868</v>
      </c>
      <c r="C3" s="15" t="s">
        <v>869</v>
      </c>
      <c r="D3" s="16" t="s">
        <v>870</v>
      </c>
      <c r="E3" s="22">
        <v>1</v>
      </c>
      <c r="F3" s="18" t="s">
        <v>72</v>
      </c>
      <c r="G3" s="16" t="s">
        <v>1208</v>
      </c>
      <c r="H3" s="16" t="s">
        <v>1209</v>
      </c>
    </row>
    <row r="4" spans="1:8" ht="30" customHeight="1" x14ac:dyDescent="0.3">
      <c r="A4" s="19" t="s">
        <v>867</v>
      </c>
      <c r="B4" s="19" t="s">
        <v>868</v>
      </c>
      <c r="C4" s="20" t="s">
        <v>871</v>
      </c>
      <c r="D4" s="21" t="s">
        <v>872</v>
      </c>
      <c r="E4" s="17">
        <v>2</v>
      </c>
      <c r="F4" s="18" t="s">
        <v>62</v>
      </c>
      <c r="G4" s="21" t="s">
        <v>1053</v>
      </c>
      <c r="H4" s="21"/>
    </row>
    <row r="5" spans="1:8" ht="30" customHeight="1" x14ac:dyDescent="0.3">
      <c r="A5" s="14" t="s">
        <v>867</v>
      </c>
      <c r="B5" s="14" t="s">
        <v>868</v>
      </c>
      <c r="C5" s="15" t="s">
        <v>873</v>
      </c>
      <c r="D5" s="16" t="s">
        <v>874</v>
      </c>
      <c r="E5" s="17">
        <v>2</v>
      </c>
      <c r="F5" s="18" t="s">
        <v>72</v>
      </c>
      <c r="G5" s="16" t="s">
        <v>1210</v>
      </c>
      <c r="H5" s="16" t="s">
        <v>1211</v>
      </c>
    </row>
    <row r="6" spans="1:8" ht="30" customHeight="1" x14ac:dyDescent="0.3">
      <c r="A6" s="19" t="s">
        <v>867</v>
      </c>
      <c r="B6" s="19" t="s">
        <v>868</v>
      </c>
      <c r="C6" s="20" t="s">
        <v>875</v>
      </c>
      <c r="D6" s="21" t="s">
        <v>876</v>
      </c>
      <c r="E6" s="23">
        <v>3</v>
      </c>
      <c r="F6" s="18" t="s">
        <v>62</v>
      </c>
      <c r="G6" s="21" t="s">
        <v>1017</v>
      </c>
      <c r="H6" s="21"/>
    </row>
    <row r="7" spans="1:8" ht="30.6" customHeight="1" x14ac:dyDescent="0.3">
      <c r="A7" s="14" t="s">
        <v>867</v>
      </c>
      <c r="B7" s="14" t="s">
        <v>868</v>
      </c>
      <c r="C7" s="15" t="s">
        <v>877</v>
      </c>
      <c r="D7" s="16" t="s">
        <v>878</v>
      </c>
      <c r="E7" s="23">
        <v>3</v>
      </c>
      <c r="F7" s="18" t="s">
        <v>62</v>
      </c>
      <c r="G7" s="16" t="s">
        <v>1018</v>
      </c>
      <c r="H7" s="16"/>
    </row>
    <row r="8" spans="1:8" ht="18" customHeight="1" x14ac:dyDescent="0.3">
      <c r="A8" s="13" t="s">
        <v>879</v>
      </c>
      <c r="B8" s="13" t="s">
        <v>880</v>
      </c>
      <c r="C8" s="13"/>
      <c r="D8" s="13"/>
      <c r="E8" s="13"/>
      <c r="F8" s="13"/>
      <c r="G8" s="13"/>
      <c r="H8" s="13"/>
    </row>
    <row r="9" spans="1:8" ht="30" customHeight="1" x14ac:dyDescent="0.3">
      <c r="A9" s="14" t="s">
        <v>879</v>
      </c>
      <c r="B9" s="14" t="s">
        <v>880</v>
      </c>
      <c r="C9" s="15" t="s">
        <v>881</v>
      </c>
      <c r="D9" s="16" t="s">
        <v>882</v>
      </c>
      <c r="E9" s="22">
        <v>1</v>
      </c>
      <c r="F9" s="18" t="s">
        <v>72</v>
      </c>
      <c r="G9" s="16" t="s">
        <v>1212</v>
      </c>
      <c r="H9" s="16" t="s">
        <v>1213</v>
      </c>
    </row>
    <row r="10" spans="1:8" ht="30" customHeight="1" x14ac:dyDescent="0.3">
      <c r="A10" s="19" t="s">
        <v>879</v>
      </c>
      <c r="B10" s="19" t="s">
        <v>880</v>
      </c>
      <c r="C10" s="20" t="s">
        <v>883</v>
      </c>
      <c r="D10" s="21" t="s">
        <v>884</v>
      </c>
      <c r="E10" s="17">
        <v>2</v>
      </c>
      <c r="F10" s="18" t="s">
        <v>72</v>
      </c>
      <c r="G10" s="21" t="s">
        <v>1214</v>
      </c>
      <c r="H10" s="21" t="s">
        <v>1215</v>
      </c>
    </row>
    <row r="11" spans="1:8" ht="24.6" customHeight="1" x14ac:dyDescent="0.3">
      <c r="A11" s="14" t="s">
        <v>879</v>
      </c>
      <c r="B11" s="14" t="s">
        <v>880</v>
      </c>
      <c r="C11" s="15" t="s">
        <v>885</v>
      </c>
      <c r="D11" s="16" t="s">
        <v>886</v>
      </c>
      <c r="E11" s="17">
        <v>2</v>
      </c>
      <c r="F11" s="18" t="s">
        <v>72</v>
      </c>
      <c r="G11" s="16" t="s">
        <v>1216</v>
      </c>
      <c r="H11" s="16" t="s">
        <v>1192</v>
      </c>
    </row>
    <row r="12" spans="1:8" ht="30" customHeight="1" x14ac:dyDescent="0.3">
      <c r="A12" s="19" t="s">
        <v>879</v>
      </c>
      <c r="B12" s="19" t="s">
        <v>880</v>
      </c>
      <c r="C12" s="20" t="s">
        <v>887</v>
      </c>
      <c r="D12" s="21" t="s">
        <v>888</v>
      </c>
      <c r="E12" s="23">
        <v>3</v>
      </c>
      <c r="F12" s="18" t="s">
        <v>62</v>
      </c>
      <c r="G12" s="21" t="s">
        <v>1019</v>
      </c>
      <c r="H12" s="21"/>
    </row>
    <row r="13" spans="1:8" ht="30" customHeight="1" x14ac:dyDescent="0.3">
      <c r="A13" s="14" t="s">
        <v>879</v>
      </c>
      <c r="B13" s="14" t="s">
        <v>880</v>
      </c>
      <c r="C13" s="15" t="s">
        <v>889</v>
      </c>
      <c r="D13" s="16" t="s">
        <v>890</v>
      </c>
      <c r="E13" s="23">
        <v>3</v>
      </c>
      <c r="F13" s="18" t="s">
        <v>62</v>
      </c>
      <c r="G13" s="16" t="s">
        <v>1020</v>
      </c>
      <c r="H13" s="16"/>
    </row>
    <row r="14" spans="1:8" ht="18" customHeight="1" x14ac:dyDescent="0.3">
      <c r="A14" s="13" t="s">
        <v>891</v>
      </c>
      <c r="B14" s="13" t="s">
        <v>892</v>
      </c>
      <c r="C14" s="13"/>
      <c r="D14" s="13"/>
      <c r="E14" s="13"/>
      <c r="F14" s="13"/>
      <c r="G14" s="13"/>
      <c r="H14" s="13"/>
    </row>
    <row r="15" spans="1:8" ht="30" customHeight="1" x14ac:dyDescent="0.3">
      <c r="A15" s="14" t="s">
        <v>891</v>
      </c>
      <c r="B15" s="14" t="s">
        <v>892</v>
      </c>
      <c r="C15" s="15" t="s">
        <v>893</v>
      </c>
      <c r="D15" s="16" t="s">
        <v>894</v>
      </c>
      <c r="E15" s="22">
        <v>1</v>
      </c>
      <c r="F15" s="18" t="s">
        <v>72</v>
      </c>
      <c r="G15" s="16" t="s">
        <v>1217</v>
      </c>
      <c r="H15" s="16" t="s">
        <v>1070</v>
      </c>
    </row>
    <row r="16" spans="1:8" ht="30" customHeight="1" x14ac:dyDescent="0.3">
      <c r="A16" s="19" t="s">
        <v>891</v>
      </c>
      <c r="B16" s="19" t="s">
        <v>892</v>
      </c>
      <c r="C16" s="20" t="s">
        <v>895</v>
      </c>
      <c r="D16" s="21" t="s">
        <v>896</v>
      </c>
      <c r="E16" s="17">
        <v>2</v>
      </c>
      <c r="F16" s="18" t="s">
        <v>72</v>
      </c>
      <c r="G16" s="21" t="s">
        <v>1218</v>
      </c>
      <c r="H16" s="21" t="s">
        <v>541</v>
      </c>
    </row>
    <row r="17" spans="1:8" ht="30" customHeight="1" x14ac:dyDescent="0.3">
      <c r="A17" s="14" t="s">
        <v>891</v>
      </c>
      <c r="B17" s="14" t="s">
        <v>892</v>
      </c>
      <c r="C17" s="15" t="s">
        <v>897</v>
      </c>
      <c r="D17" s="16" t="s">
        <v>898</v>
      </c>
      <c r="E17" s="17">
        <v>2</v>
      </c>
      <c r="F17" s="18" t="s">
        <v>72</v>
      </c>
      <c r="G17" s="16" t="s">
        <v>1219</v>
      </c>
      <c r="H17" s="16" t="s">
        <v>1070</v>
      </c>
    </row>
    <row r="18" spans="1:8" ht="30" customHeight="1" x14ac:dyDescent="0.3">
      <c r="A18" s="19" t="s">
        <v>891</v>
      </c>
      <c r="B18" s="19" t="s">
        <v>892</v>
      </c>
      <c r="C18" s="20" t="s">
        <v>899</v>
      </c>
      <c r="D18" s="21" t="s">
        <v>900</v>
      </c>
      <c r="E18" s="17">
        <v>2</v>
      </c>
      <c r="F18" s="18" t="s">
        <v>62</v>
      </c>
      <c r="G18" s="21" t="s">
        <v>1220</v>
      </c>
      <c r="H18" s="21"/>
    </row>
    <row r="19" spans="1:8" ht="30" customHeight="1" x14ac:dyDescent="0.3">
      <c r="A19" s="14" t="s">
        <v>891</v>
      </c>
      <c r="B19" s="14" t="s">
        <v>892</v>
      </c>
      <c r="C19" s="15" t="s">
        <v>901</v>
      </c>
      <c r="D19" s="16" t="s">
        <v>902</v>
      </c>
      <c r="E19" s="17">
        <v>2</v>
      </c>
      <c r="F19" s="18" t="s">
        <v>72</v>
      </c>
      <c r="G19" s="16" t="s">
        <v>1221</v>
      </c>
      <c r="H19" s="16" t="s">
        <v>1070</v>
      </c>
    </row>
    <row r="20" spans="1:8" ht="30" customHeight="1" x14ac:dyDescent="0.3">
      <c r="A20" s="19" t="s">
        <v>891</v>
      </c>
      <c r="B20" s="19" t="s">
        <v>892</v>
      </c>
      <c r="C20" s="20" t="s">
        <v>903</v>
      </c>
      <c r="D20" s="21" t="s">
        <v>904</v>
      </c>
      <c r="E20" s="17">
        <v>2</v>
      </c>
      <c r="F20" s="18" t="s">
        <v>62</v>
      </c>
      <c r="G20" s="21" t="s">
        <v>905</v>
      </c>
      <c r="H20" s="21"/>
    </row>
    <row r="21" spans="1:8" ht="30" customHeight="1" x14ac:dyDescent="0.3">
      <c r="A21" s="14" t="s">
        <v>891</v>
      </c>
      <c r="B21" s="14" t="s">
        <v>892</v>
      </c>
      <c r="C21" s="15" t="s">
        <v>906</v>
      </c>
      <c r="D21" s="16" t="s">
        <v>907</v>
      </c>
      <c r="E21" s="17">
        <v>2</v>
      </c>
      <c r="F21" s="18" t="s">
        <v>72</v>
      </c>
      <c r="G21" s="16" t="s">
        <v>1222</v>
      </c>
      <c r="H21" s="16" t="s">
        <v>467</v>
      </c>
    </row>
    <row r="22" spans="1:8" ht="18" customHeight="1" x14ac:dyDescent="0.3">
      <c r="A22" s="13" t="s">
        <v>908</v>
      </c>
      <c r="B22" s="13" t="s">
        <v>909</v>
      </c>
      <c r="C22" s="13"/>
      <c r="D22" s="13"/>
      <c r="E22" s="13"/>
      <c r="F22" s="13"/>
      <c r="G22" s="13"/>
      <c r="H22" s="13"/>
    </row>
    <row r="23" spans="1:8" ht="30" customHeight="1" x14ac:dyDescent="0.3">
      <c r="A23" s="14" t="s">
        <v>908</v>
      </c>
      <c r="B23" s="14" t="s">
        <v>909</v>
      </c>
      <c r="C23" s="15" t="s">
        <v>910</v>
      </c>
      <c r="D23" s="16" t="s">
        <v>911</v>
      </c>
      <c r="E23" s="23">
        <v>3</v>
      </c>
      <c r="F23" s="18" t="s">
        <v>72</v>
      </c>
      <c r="G23" s="16" t="s">
        <v>1223</v>
      </c>
      <c r="H23" s="16" t="s">
        <v>1206</v>
      </c>
    </row>
    <row r="24" spans="1:8" ht="30" customHeight="1" x14ac:dyDescent="0.3">
      <c r="A24" s="19" t="s">
        <v>908</v>
      </c>
      <c r="B24" s="19" t="s">
        <v>909</v>
      </c>
      <c r="C24" s="20" t="s">
        <v>912</v>
      </c>
      <c r="D24" s="21" t="s">
        <v>913</v>
      </c>
      <c r="E24" s="23">
        <v>3</v>
      </c>
      <c r="F24" s="18" t="s">
        <v>72</v>
      </c>
      <c r="G24" s="21" t="s">
        <v>1224</v>
      </c>
      <c r="H24" s="21" t="s">
        <v>1070</v>
      </c>
    </row>
    <row r="25" spans="1:8" ht="30" customHeight="1" x14ac:dyDescent="0.3">
      <c r="A25" s="14" t="s">
        <v>908</v>
      </c>
      <c r="B25" s="14" t="s">
        <v>909</v>
      </c>
      <c r="C25" s="15" t="s">
        <v>914</v>
      </c>
      <c r="D25" s="16" t="s">
        <v>915</v>
      </c>
      <c r="E25" s="23">
        <v>3</v>
      </c>
      <c r="F25" s="18" t="s">
        <v>62</v>
      </c>
      <c r="G25" s="16" t="s">
        <v>1220</v>
      </c>
      <c r="H25" s="16"/>
    </row>
    <row r="26" spans="1:8" ht="30" customHeight="1" x14ac:dyDescent="0.3">
      <c r="A26" s="19" t="s">
        <v>908</v>
      </c>
      <c r="B26" s="19" t="s">
        <v>909</v>
      </c>
      <c r="C26" s="20" t="s">
        <v>916</v>
      </c>
      <c r="D26" s="21" t="s">
        <v>917</v>
      </c>
      <c r="E26" s="23">
        <v>3</v>
      </c>
      <c r="F26" s="18" t="s">
        <v>72</v>
      </c>
      <c r="G26" s="21" t="s">
        <v>1225</v>
      </c>
      <c r="H26" s="21" t="s">
        <v>1226</v>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tabSelected="1" zoomScale="117" zoomScaleNormal="75" workbookViewId="0">
      <pane ySplit="1" topLeftCell="A10" activePane="bottomLeft" state="frozen"/>
      <selection pane="bottomLeft" activeCell="H7" sqref="H7"/>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918</v>
      </c>
      <c r="B2" s="13" t="s">
        <v>919</v>
      </c>
      <c r="C2" s="13"/>
      <c r="D2" s="13"/>
      <c r="E2" s="13"/>
      <c r="F2" s="13"/>
      <c r="G2" s="13"/>
      <c r="H2" s="13"/>
    </row>
    <row r="3" spans="1:8" ht="30" customHeight="1" x14ac:dyDescent="0.3">
      <c r="A3" s="14" t="s">
        <v>918</v>
      </c>
      <c r="B3" s="14" t="s">
        <v>919</v>
      </c>
      <c r="C3" s="15" t="s">
        <v>920</v>
      </c>
      <c r="D3" s="16" t="s">
        <v>921</v>
      </c>
      <c r="E3" s="17">
        <v>2</v>
      </c>
      <c r="F3" s="18" t="s">
        <v>72</v>
      </c>
      <c r="G3" s="16" t="s">
        <v>1244</v>
      </c>
      <c r="H3" s="16" t="s">
        <v>1127</v>
      </c>
    </row>
    <row r="4" spans="1:8" ht="18" customHeight="1" x14ac:dyDescent="0.3">
      <c r="A4" s="13" t="s">
        <v>922</v>
      </c>
      <c r="B4" s="13" t="s">
        <v>923</v>
      </c>
      <c r="C4" s="13"/>
      <c r="D4" s="13"/>
      <c r="E4" s="13"/>
      <c r="F4" s="13"/>
      <c r="G4" s="13"/>
      <c r="H4" s="13"/>
    </row>
    <row r="5" spans="1:8" ht="30" customHeight="1" x14ac:dyDescent="0.3">
      <c r="A5" s="14" t="s">
        <v>922</v>
      </c>
      <c r="B5" s="14" t="s">
        <v>923</v>
      </c>
      <c r="C5" s="15" t="s">
        <v>924</v>
      </c>
      <c r="D5" s="16" t="s">
        <v>925</v>
      </c>
      <c r="E5" s="17">
        <v>2</v>
      </c>
      <c r="F5" s="18" t="s">
        <v>72</v>
      </c>
      <c r="G5" s="16" t="s">
        <v>1227</v>
      </c>
      <c r="H5" s="16" t="s">
        <v>1228</v>
      </c>
    </row>
    <row r="6" spans="1:8" ht="30" customHeight="1" x14ac:dyDescent="0.3">
      <c r="A6" s="19" t="s">
        <v>922</v>
      </c>
      <c r="B6" s="19" t="s">
        <v>923</v>
      </c>
      <c r="C6" s="20" t="s">
        <v>926</v>
      </c>
      <c r="D6" s="21" t="s">
        <v>927</v>
      </c>
      <c r="E6" s="17">
        <v>2</v>
      </c>
      <c r="F6" s="18" t="s">
        <v>62</v>
      </c>
      <c r="G6" s="21" t="s">
        <v>1245</v>
      </c>
      <c r="H6" s="21"/>
    </row>
    <row r="7" spans="1:8" ht="30" customHeight="1" x14ac:dyDescent="0.3">
      <c r="A7" s="14" t="s">
        <v>922</v>
      </c>
      <c r="B7" s="14" t="s">
        <v>923</v>
      </c>
      <c r="C7" s="15" t="s">
        <v>928</v>
      </c>
      <c r="D7" s="16" t="s">
        <v>929</v>
      </c>
      <c r="E7" s="17">
        <v>2</v>
      </c>
      <c r="F7" s="18" t="s">
        <v>72</v>
      </c>
      <c r="G7" s="16" t="s">
        <v>1229</v>
      </c>
      <c r="H7" s="16" t="s">
        <v>1230</v>
      </c>
    </row>
    <row r="8" spans="1:8" ht="30" customHeight="1" x14ac:dyDescent="0.3">
      <c r="A8" s="19" t="s">
        <v>922</v>
      </c>
      <c r="B8" s="19" t="s">
        <v>923</v>
      </c>
      <c r="C8" s="20" t="s">
        <v>930</v>
      </c>
      <c r="D8" s="21" t="s">
        <v>931</v>
      </c>
      <c r="E8" s="17">
        <v>2</v>
      </c>
      <c r="F8" s="18" t="s">
        <v>72</v>
      </c>
      <c r="G8" s="21" t="s">
        <v>1231</v>
      </c>
      <c r="H8" s="21" t="s">
        <v>1230</v>
      </c>
    </row>
    <row r="9" spans="1:8" ht="30" customHeight="1" x14ac:dyDescent="0.3">
      <c r="A9" s="14" t="s">
        <v>922</v>
      </c>
      <c r="B9" s="14" t="s">
        <v>923</v>
      </c>
      <c r="C9" s="15" t="s">
        <v>932</v>
      </c>
      <c r="D9" s="16" t="s">
        <v>933</v>
      </c>
      <c r="E9" s="17">
        <v>2</v>
      </c>
      <c r="F9" s="18" t="s">
        <v>72</v>
      </c>
      <c r="G9" s="16" t="s">
        <v>1232</v>
      </c>
      <c r="H9" s="16" t="s">
        <v>1230</v>
      </c>
    </row>
    <row r="10" spans="1:8" ht="18" customHeight="1" x14ac:dyDescent="0.3">
      <c r="A10" s="13" t="s">
        <v>934</v>
      </c>
      <c r="B10" s="13" t="s">
        <v>935</v>
      </c>
      <c r="C10" s="13"/>
      <c r="D10" s="13"/>
      <c r="E10" s="13"/>
      <c r="F10" s="13"/>
      <c r="G10" s="13"/>
      <c r="H10" s="13"/>
    </row>
    <row r="11" spans="1:8" ht="30" customHeight="1" x14ac:dyDescent="0.3">
      <c r="A11" s="14" t="s">
        <v>934</v>
      </c>
      <c r="B11" s="14" t="s">
        <v>935</v>
      </c>
      <c r="C11" s="15" t="s">
        <v>936</v>
      </c>
      <c r="D11" s="16" t="s">
        <v>937</v>
      </c>
      <c r="E11" s="17">
        <v>2</v>
      </c>
      <c r="F11" s="18" t="s">
        <v>72</v>
      </c>
      <c r="G11" s="16" t="s">
        <v>938</v>
      </c>
      <c r="H11" s="16" t="s">
        <v>1070</v>
      </c>
    </row>
    <row r="12" spans="1:8" ht="30" customHeight="1" x14ac:dyDescent="0.3">
      <c r="A12" s="19" t="s">
        <v>934</v>
      </c>
      <c r="B12" s="19" t="s">
        <v>935</v>
      </c>
      <c r="C12" s="20" t="s">
        <v>939</v>
      </c>
      <c r="D12" s="21" t="s">
        <v>940</v>
      </c>
      <c r="E12" s="17">
        <v>2</v>
      </c>
      <c r="F12" s="18" t="s">
        <v>72</v>
      </c>
      <c r="G12" s="21" t="s">
        <v>1233</v>
      </c>
      <c r="H12" s="21" t="s">
        <v>1234</v>
      </c>
    </row>
    <row r="13" spans="1:8" ht="30" customHeight="1" x14ac:dyDescent="0.3">
      <c r="A13" s="14" t="s">
        <v>934</v>
      </c>
      <c r="B13" s="14" t="s">
        <v>935</v>
      </c>
      <c r="C13" s="15" t="s">
        <v>941</v>
      </c>
      <c r="D13" s="16" t="s">
        <v>942</v>
      </c>
      <c r="E13" s="17">
        <v>2</v>
      </c>
      <c r="F13" s="18" t="s">
        <v>62</v>
      </c>
      <c r="G13" s="16" t="s">
        <v>1220</v>
      </c>
      <c r="H13" s="16"/>
    </row>
    <row r="14" spans="1:8" ht="30" customHeight="1" x14ac:dyDescent="0.3">
      <c r="A14" s="19" t="s">
        <v>934</v>
      </c>
      <c r="B14" s="19" t="s">
        <v>935</v>
      </c>
      <c r="C14" s="20" t="s">
        <v>943</v>
      </c>
      <c r="D14" s="21" t="s">
        <v>944</v>
      </c>
      <c r="E14" s="17">
        <v>2</v>
      </c>
      <c r="F14" s="18" t="s">
        <v>62</v>
      </c>
      <c r="G14" s="21" t="s">
        <v>1220</v>
      </c>
      <c r="H14" s="21"/>
    </row>
    <row r="15" spans="1:8" ht="18" customHeight="1" x14ac:dyDescent="0.3">
      <c r="A15" s="13" t="s">
        <v>945</v>
      </c>
      <c r="B15" s="13" t="s">
        <v>946</v>
      </c>
      <c r="C15" s="13"/>
      <c r="D15" s="13"/>
      <c r="E15" s="13"/>
      <c r="F15" s="13"/>
      <c r="G15" s="13"/>
      <c r="H15" s="13"/>
    </row>
    <row r="16" spans="1:8" ht="30" customHeight="1" x14ac:dyDescent="0.3">
      <c r="A16" s="14" t="s">
        <v>945</v>
      </c>
      <c r="B16" s="14" t="s">
        <v>946</v>
      </c>
      <c r="C16" s="15" t="s">
        <v>947</v>
      </c>
      <c r="D16" s="16" t="s">
        <v>948</v>
      </c>
      <c r="E16" s="17">
        <v>2</v>
      </c>
      <c r="F16" s="18" t="s">
        <v>62</v>
      </c>
      <c r="G16" s="16" t="s">
        <v>1220</v>
      </c>
      <c r="H16" s="16"/>
    </row>
    <row r="17" spans="1:8" ht="30" customHeight="1" x14ac:dyDescent="0.3">
      <c r="A17" s="19" t="s">
        <v>945</v>
      </c>
      <c r="B17" s="19" t="s">
        <v>946</v>
      </c>
      <c r="C17" s="20" t="s">
        <v>949</v>
      </c>
      <c r="D17" s="21" t="s">
        <v>950</v>
      </c>
      <c r="E17" s="17">
        <v>2</v>
      </c>
      <c r="F17" s="18" t="s">
        <v>72</v>
      </c>
      <c r="G17" s="21" t="s">
        <v>1235</v>
      </c>
      <c r="H17" s="21" t="s">
        <v>1236</v>
      </c>
    </row>
    <row r="18" spans="1:8" ht="30" customHeight="1" x14ac:dyDescent="0.3">
      <c r="A18" s="14" t="s">
        <v>945</v>
      </c>
      <c r="B18" s="14" t="s">
        <v>946</v>
      </c>
      <c r="C18" s="15" t="s">
        <v>951</v>
      </c>
      <c r="D18" s="16" t="s">
        <v>952</v>
      </c>
      <c r="E18" s="17">
        <v>2</v>
      </c>
      <c r="F18" s="18" t="s">
        <v>62</v>
      </c>
      <c r="G18" s="16" t="s">
        <v>1054</v>
      </c>
      <c r="H18" s="16"/>
    </row>
    <row r="19" spans="1:8" ht="18" customHeight="1" x14ac:dyDescent="0.3">
      <c r="A19" s="13" t="s">
        <v>953</v>
      </c>
      <c r="B19" s="13" t="s">
        <v>954</v>
      </c>
      <c r="C19" s="13"/>
      <c r="D19" s="13"/>
      <c r="E19" s="13"/>
      <c r="F19" s="13"/>
      <c r="G19" s="13"/>
      <c r="H19" s="13"/>
    </row>
    <row r="20" spans="1:8" ht="30" customHeight="1" x14ac:dyDescent="0.3">
      <c r="A20" s="14" t="s">
        <v>953</v>
      </c>
      <c r="B20" s="14" t="s">
        <v>954</v>
      </c>
      <c r="C20" s="15" t="s">
        <v>955</v>
      </c>
      <c r="D20" s="16" t="s">
        <v>956</v>
      </c>
      <c r="E20" s="17">
        <v>2</v>
      </c>
      <c r="F20" s="18" t="s">
        <v>72</v>
      </c>
      <c r="G20" s="16" t="s">
        <v>1237</v>
      </c>
      <c r="H20" s="16" t="s">
        <v>1238</v>
      </c>
    </row>
    <row r="21" spans="1:8" ht="30" customHeight="1" x14ac:dyDescent="0.3">
      <c r="A21" s="19" t="s">
        <v>953</v>
      </c>
      <c r="B21" s="19" t="s">
        <v>954</v>
      </c>
      <c r="C21" s="20" t="s">
        <v>957</v>
      </c>
      <c r="D21" s="21" t="s">
        <v>958</v>
      </c>
      <c r="E21" s="17">
        <v>2</v>
      </c>
      <c r="F21" s="18" t="s">
        <v>72</v>
      </c>
      <c r="G21" s="21" t="s">
        <v>1239</v>
      </c>
      <c r="H21" s="21" t="s">
        <v>1240</v>
      </c>
    </row>
    <row r="22" spans="1:8" ht="30" customHeight="1" x14ac:dyDescent="0.3">
      <c r="A22" s="14" t="s">
        <v>953</v>
      </c>
      <c r="B22" s="14" t="s">
        <v>954</v>
      </c>
      <c r="C22" s="15" t="s">
        <v>959</v>
      </c>
      <c r="D22" s="16" t="s">
        <v>960</v>
      </c>
      <c r="E22" s="17">
        <v>2</v>
      </c>
      <c r="F22" s="18" t="s">
        <v>72</v>
      </c>
      <c r="G22" s="16" t="s">
        <v>1241</v>
      </c>
      <c r="H22" s="16" t="s">
        <v>1070</v>
      </c>
    </row>
    <row r="23" spans="1:8" ht="30" customHeight="1" x14ac:dyDescent="0.3">
      <c r="A23" s="19" t="s">
        <v>953</v>
      </c>
      <c r="B23" s="19" t="s">
        <v>954</v>
      </c>
      <c r="C23" s="20" t="s">
        <v>961</v>
      </c>
      <c r="D23" s="21" t="s">
        <v>962</v>
      </c>
      <c r="E23" s="23">
        <v>3</v>
      </c>
      <c r="F23" s="18" t="s">
        <v>72</v>
      </c>
      <c r="G23" s="21" t="s">
        <v>1242</v>
      </c>
      <c r="H23" s="21" t="s">
        <v>1243</v>
      </c>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zoomScale="75" zoomScaleNormal="75" workbookViewId="0">
      <pane ySplit="1" topLeftCell="A2" activePane="bottomLeft" state="frozen"/>
      <selection pane="bottomLeft" activeCell="M16" sqref="M16"/>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963</v>
      </c>
      <c r="B2" s="13" t="s">
        <v>964</v>
      </c>
      <c r="C2" s="13"/>
      <c r="D2" s="13"/>
      <c r="E2" s="13"/>
      <c r="F2" s="13"/>
      <c r="G2" s="13"/>
      <c r="H2" s="13"/>
    </row>
    <row r="3" spans="1:8" ht="30" customHeight="1" x14ac:dyDescent="0.3">
      <c r="A3" s="14" t="s">
        <v>963</v>
      </c>
      <c r="B3" s="14" t="s">
        <v>964</v>
      </c>
      <c r="C3" s="15" t="s">
        <v>965</v>
      </c>
      <c r="D3" s="16" t="s">
        <v>966</v>
      </c>
      <c r="E3" s="17">
        <v>2</v>
      </c>
      <c r="F3" s="18" t="s">
        <v>62</v>
      </c>
      <c r="G3" s="16" t="s">
        <v>462</v>
      </c>
      <c r="H3" s="16"/>
    </row>
    <row r="4" spans="1:8" ht="30" customHeight="1" x14ac:dyDescent="0.3">
      <c r="A4" s="19" t="s">
        <v>963</v>
      </c>
      <c r="B4" s="19" t="s">
        <v>964</v>
      </c>
      <c r="C4" s="20" t="s">
        <v>967</v>
      </c>
      <c r="D4" s="21" t="s">
        <v>968</v>
      </c>
      <c r="E4" s="23">
        <v>3</v>
      </c>
      <c r="F4" s="18" t="s">
        <v>62</v>
      </c>
      <c r="G4" s="16" t="s">
        <v>462</v>
      </c>
      <c r="H4" s="21"/>
    </row>
    <row r="5" spans="1:8" ht="18" customHeight="1" x14ac:dyDescent="0.3">
      <c r="A5" s="13" t="s">
        <v>969</v>
      </c>
      <c r="B5" s="13" t="s">
        <v>970</v>
      </c>
      <c r="C5" s="13"/>
      <c r="D5" s="13"/>
      <c r="E5" s="13"/>
      <c r="F5" s="13"/>
      <c r="G5" s="13"/>
      <c r="H5" s="13"/>
    </row>
    <row r="6" spans="1:8" ht="30" customHeight="1" x14ac:dyDescent="0.3">
      <c r="A6" s="14" t="s">
        <v>969</v>
      </c>
      <c r="B6" s="14" t="s">
        <v>970</v>
      </c>
      <c r="C6" s="15" t="s">
        <v>971</v>
      </c>
      <c r="D6" s="16" t="s">
        <v>972</v>
      </c>
      <c r="E6" s="17">
        <v>2</v>
      </c>
      <c r="F6" s="18" t="s">
        <v>62</v>
      </c>
      <c r="G6" s="16" t="s">
        <v>462</v>
      </c>
      <c r="H6" s="16"/>
    </row>
    <row r="7" spans="1:8" ht="30" customHeight="1" x14ac:dyDescent="0.3">
      <c r="A7" s="19" t="s">
        <v>969</v>
      </c>
      <c r="B7" s="19" t="s">
        <v>970</v>
      </c>
      <c r="C7" s="20" t="s">
        <v>973</v>
      </c>
      <c r="D7" s="21" t="s">
        <v>974</v>
      </c>
      <c r="E7" s="17">
        <v>2</v>
      </c>
      <c r="F7" s="18" t="s">
        <v>62</v>
      </c>
      <c r="G7" s="16" t="s">
        <v>462</v>
      </c>
      <c r="H7" s="21"/>
    </row>
    <row r="8" spans="1:8" ht="30" customHeight="1" x14ac:dyDescent="0.3">
      <c r="A8" s="14" t="s">
        <v>969</v>
      </c>
      <c r="B8" s="14" t="s">
        <v>970</v>
      </c>
      <c r="C8" s="15" t="s">
        <v>975</v>
      </c>
      <c r="D8" s="16" t="s">
        <v>976</v>
      </c>
      <c r="E8" s="17">
        <v>2</v>
      </c>
      <c r="F8" s="18" t="s">
        <v>62</v>
      </c>
      <c r="G8" s="16" t="s">
        <v>462</v>
      </c>
      <c r="H8" s="16"/>
    </row>
    <row r="9" spans="1:8" ht="30" customHeight="1" x14ac:dyDescent="0.3">
      <c r="A9" s="19" t="s">
        <v>969</v>
      </c>
      <c r="B9" s="19" t="s">
        <v>970</v>
      </c>
      <c r="C9" s="20" t="s">
        <v>977</v>
      </c>
      <c r="D9" s="21" t="s">
        <v>978</v>
      </c>
      <c r="E9" s="17">
        <v>2</v>
      </c>
      <c r="F9" s="18" t="s">
        <v>62</v>
      </c>
      <c r="G9" s="16" t="s">
        <v>462</v>
      </c>
      <c r="H9" s="21"/>
    </row>
    <row r="10" spans="1:8" ht="30" customHeight="1" x14ac:dyDescent="0.3">
      <c r="A10" s="14" t="s">
        <v>969</v>
      </c>
      <c r="B10" s="14" t="s">
        <v>970</v>
      </c>
      <c r="C10" s="15" t="s">
        <v>979</v>
      </c>
      <c r="D10" s="16" t="s">
        <v>980</v>
      </c>
      <c r="E10" s="23">
        <v>3</v>
      </c>
      <c r="F10" s="18" t="s">
        <v>62</v>
      </c>
      <c r="G10" s="16" t="s">
        <v>462</v>
      </c>
      <c r="H10" s="16"/>
    </row>
    <row r="11" spans="1:8" ht="30" customHeight="1" x14ac:dyDescent="0.3">
      <c r="A11" s="19" t="s">
        <v>969</v>
      </c>
      <c r="B11" s="19" t="s">
        <v>970</v>
      </c>
      <c r="C11" s="20" t="s">
        <v>981</v>
      </c>
      <c r="D11" s="21" t="s">
        <v>982</v>
      </c>
      <c r="E11" s="23">
        <v>3</v>
      </c>
      <c r="F11" s="18" t="s">
        <v>62</v>
      </c>
      <c r="G11" s="16" t="s">
        <v>462</v>
      </c>
      <c r="H11" s="21"/>
    </row>
    <row r="12" spans="1:8" ht="30" customHeight="1" x14ac:dyDescent="0.3">
      <c r="A12" s="14" t="s">
        <v>969</v>
      </c>
      <c r="B12" s="14" t="s">
        <v>970</v>
      </c>
      <c r="C12" s="15" t="s">
        <v>983</v>
      </c>
      <c r="D12" s="16" t="s">
        <v>984</v>
      </c>
      <c r="E12" s="23">
        <v>3</v>
      </c>
      <c r="F12" s="18" t="s">
        <v>62</v>
      </c>
      <c r="G12" s="16" t="s">
        <v>462</v>
      </c>
      <c r="H12" s="16"/>
    </row>
    <row r="13" spans="1:8" ht="30" customHeight="1" x14ac:dyDescent="0.3">
      <c r="A13" s="19" t="s">
        <v>969</v>
      </c>
      <c r="B13" s="19" t="s">
        <v>970</v>
      </c>
      <c r="C13" s="20" t="s">
        <v>985</v>
      </c>
      <c r="D13" s="21" t="s">
        <v>986</v>
      </c>
      <c r="E13" s="23">
        <v>3</v>
      </c>
      <c r="F13" s="18" t="s">
        <v>62</v>
      </c>
      <c r="G13" s="16" t="s">
        <v>462</v>
      </c>
      <c r="H13" s="21"/>
    </row>
    <row r="14" spans="1:8" ht="18" customHeight="1" x14ac:dyDescent="0.3">
      <c r="A14" s="13" t="s">
        <v>987</v>
      </c>
      <c r="B14" s="13" t="s">
        <v>988</v>
      </c>
      <c r="C14" s="13"/>
      <c r="D14" s="13"/>
      <c r="E14" s="13"/>
      <c r="F14" s="13"/>
      <c r="G14" s="13"/>
      <c r="H14" s="13"/>
    </row>
    <row r="15" spans="1:8" ht="30" customHeight="1" x14ac:dyDescent="0.3">
      <c r="A15" s="14" t="s">
        <v>987</v>
      </c>
      <c r="B15" s="14" t="s">
        <v>988</v>
      </c>
      <c r="C15" s="15" t="s">
        <v>989</v>
      </c>
      <c r="D15" s="16" t="s">
        <v>990</v>
      </c>
      <c r="E15" s="17">
        <v>2</v>
      </c>
      <c r="F15" s="18" t="s">
        <v>62</v>
      </c>
      <c r="G15" s="16" t="s">
        <v>462</v>
      </c>
      <c r="H15" s="16"/>
    </row>
    <row r="16" spans="1:8" ht="30" customHeight="1" x14ac:dyDescent="0.3">
      <c r="A16" s="19" t="s">
        <v>987</v>
      </c>
      <c r="B16" s="19" t="s">
        <v>988</v>
      </c>
      <c r="C16" s="20" t="s">
        <v>991</v>
      </c>
      <c r="D16" s="21" t="s">
        <v>992</v>
      </c>
      <c r="E16" s="17">
        <v>2</v>
      </c>
      <c r="F16" s="18" t="s">
        <v>62</v>
      </c>
      <c r="G16" s="16" t="s">
        <v>462</v>
      </c>
      <c r="H16" s="21"/>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1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docMetadata/LabelInfo.xml><?xml version="1.0" encoding="utf-8"?>
<clbl:labelList xmlns:clbl="http://schemas.microsoft.com/office/2020/mipLabelMetadata">
  <clbl:label id="{c38a7698-8e68-42a1-be26-3c613a1a68a9}" enabled="1" method="Standard" siteId="{d8534ede-19b2-425f-81f7-49a3b5cbbf0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18</vt:i4>
      </vt:variant>
    </vt:vector>
  </HeadingPairs>
  <TitlesOfParts>
    <vt:vector size="18" baseType="lpstr">
      <vt:lpstr>Summary</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Diogo Ribeiro</cp:lastModifiedBy>
  <cp:revision>3</cp:revision>
  <dcterms:created xsi:type="dcterms:W3CDTF">2026-03-04T10:14:28Z</dcterms:created>
  <dcterms:modified xsi:type="dcterms:W3CDTF">2026-06-14T22:52:46Z</dcterms:modified>
  <dc:language>pt-PT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y fmtid="{D5CDD505-2E9C-101B-9397-08002B2CF9AE}" pid="3" name="ContentTypeId">
    <vt:lpwstr>0x01010076764391778E2B4FBABC02A2DE5CC80E</vt:lpwstr>
  </property>
</Properties>
</file>